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han\Dropbox\My papers and works\LLMs are not Weird\Submissions\JBEE\Submission 3\Submitted Figures and Codes\"/>
    </mc:Choice>
  </mc:AlternateContent>
  <xr:revisionPtr revIDLastSave="0" documentId="13_ncr:1_{C823EE69-FD5B-43CD-BF2D-7CE309946A7A}" xr6:coauthVersionLast="47" xr6:coauthVersionMax="47" xr10:uidLastSave="{00000000-0000-0000-0000-000000000000}"/>
  <bookViews>
    <workbookView xWindow="-108" yWindow="-108" windowWidth="23256" windowHeight="12456" activeTab="4" xr2:uid="{FC9C131B-C32A-4A41-BCFF-1D34F8EC74E7}"/>
  </bookViews>
  <sheets>
    <sheet name="TrimmedMean" sheetId="4" r:id="rId1"/>
    <sheet name="Hyperbolic" sheetId="6" r:id="rId2"/>
    <sheet name="Desc_Stats_TrimmedMean" sheetId="5" r:id="rId3"/>
    <sheet name="Expected Values" sheetId="7" r:id="rId4"/>
    <sheet name="READ me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6" l="1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55" i="6"/>
</calcChain>
</file>

<file path=xl/sharedStrings.xml><?xml version="1.0" encoding="utf-8"?>
<sst xmlns="http://schemas.openxmlformats.org/spreadsheetml/2006/main" count="182" uniqueCount="116">
  <si>
    <t>delta</t>
  </si>
  <si>
    <t>beta</t>
  </si>
  <si>
    <t>country</t>
  </si>
  <si>
    <t>Angola</t>
  </si>
  <si>
    <t>Argentina</t>
  </si>
  <si>
    <t>Australia</t>
  </si>
  <si>
    <t>Austria</t>
  </si>
  <si>
    <t>Azerbaija</t>
  </si>
  <si>
    <t>Belgium</t>
  </si>
  <si>
    <t>Bosnia an</t>
  </si>
  <si>
    <t>Canada</t>
  </si>
  <si>
    <t>Chile</t>
  </si>
  <si>
    <t>China</t>
  </si>
  <si>
    <t>Colombia</t>
  </si>
  <si>
    <t>Croatia</t>
  </si>
  <si>
    <t>Czech Rep</t>
  </si>
  <si>
    <t>Denmark</t>
  </si>
  <si>
    <t>Estonia</t>
  </si>
  <si>
    <t>Finland</t>
  </si>
  <si>
    <t>France</t>
  </si>
  <si>
    <t>Georgia</t>
  </si>
  <si>
    <t>Germany</t>
  </si>
  <si>
    <t>Greece</t>
  </si>
  <si>
    <t>Hong Kong</t>
  </si>
  <si>
    <t>Hungary</t>
  </si>
  <si>
    <t>India</t>
  </si>
  <si>
    <t>Ireland</t>
  </si>
  <si>
    <t>Israel</t>
  </si>
  <si>
    <t>Italy</t>
  </si>
  <si>
    <t>Japan</t>
  </si>
  <si>
    <t>Lebanon</t>
  </si>
  <si>
    <t>Lithuania</t>
  </si>
  <si>
    <t>Luxembourg</t>
  </si>
  <si>
    <t>Malaysia</t>
  </si>
  <si>
    <t>Mexico</t>
  </si>
  <si>
    <t>Moldova</t>
  </si>
  <si>
    <t>Netherlands</t>
  </si>
  <si>
    <t>New Zealand</t>
  </si>
  <si>
    <t>Nigeria</t>
  </si>
  <si>
    <t>Norway</t>
  </si>
  <si>
    <t>Poland</t>
  </si>
  <si>
    <t>Portugal</t>
  </si>
  <si>
    <t>Romania</t>
  </si>
  <si>
    <t>Russia</t>
  </si>
  <si>
    <t>Slovenia</t>
  </si>
  <si>
    <t>South Korea</t>
  </si>
  <si>
    <t>Spain</t>
  </si>
  <si>
    <t>Sweden</t>
  </si>
  <si>
    <t>Switzerland</t>
  </si>
  <si>
    <t>Taiwan</t>
  </si>
  <si>
    <t>Tanzania</t>
  </si>
  <si>
    <t>Thailand</t>
  </si>
  <si>
    <t>Turkey</t>
  </si>
  <si>
    <t>UK</t>
  </si>
  <si>
    <t>USA</t>
  </si>
  <si>
    <t>Vietnam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</si>
  <si>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</si>
  <si>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</si>
  <si>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</si>
  <si>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</si>
  <si>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</si>
  <si>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</si>
  <si>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</si>
  <si>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</si>
  <si>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</si>
  <si>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</si>
  <si>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</si>
  <si>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</si>
  <si>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</si>
  <si>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</si>
  <si>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mean</t>
  </si>
  <si>
    <t>std</t>
  </si>
  <si>
    <t>min</t>
  </si>
  <si>
    <t>median</t>
  </si>
  <si>
    <t>max</t>
  </si>
  <si>
    <t>ID</t>
  </si>
  <si>
    <t>Bosnia</t>
  </si>
  <si>
    <t xml:space="preserve">GPT 5 </t>
  </si>
  <si>
    <t>GPT 4o (T=0)</t>
  </si>
  <si>
    <t>GPT 4o (T=1)</t>
  </si>
  <si>
    <t>GPT 4o (T=0.5)</t>
  </si>
  <si>
    <t>GPT 4o (T=1.5)</t>
  </si>
  <si>
    <t>GPT 4o (T=2)</t>
  </si>
  <si>
    <t>GPT 4 (T=0)</t>
  </si>
  <si>
    <t>GPT 4 (T=0.5)</t>
  </si>
  <si>
    <t>GPT 4 (T=1)</t>
  </si>
  <si>
    <t>GPT 4 (T=1.5)</t>
  </si>
  <si>
    <t>GPT 4 (T=2)</t>
  </si>
  <si>
    <t>Azerbaijan</t>
  </si>
  <si>
    <t>N. Zealand</t>
  </si>
  <si>
    <t>S.Korea</t>
  </si>
  <si>
    <t>Country</t>
  </si>
  <si>
    <t>Humans</t>
  </si>
  <si>
    <t>LLMs</t>
  </si>
  <si>
    <t>Expected Value</t>
  </si>
  <si>
    <t>Questions</t>
  </si>
  <si>
    <t>The sheet Expected Values shows the answers from LLMs, countries to the questions 5-12 and their corresponding expected values</t>
  </si>
  <si>
    <t>Dseek (T=0.5)</t>
  </si>
  <si>
    <t>Dseek (T=1)</t>
  </si>
  <si>
    <t>Dseek (T=1.5)</t>
  </si>
  <si>
    <t>Dseek (T=2)</t>
  </si>
  <si>
    <t>Dseek (T=0)</t>
  </si>
  <si>
    <t>Gemini (T=0)</t>
  </si>
  <si>
    <t>Gemini (T=0.5)</t>
  </si>
  <si>
    <t>Gemini (T=1)</t>
  </si>
  <si>
    <t>Gemini (T=1.5)</t>
  </si>
  <si>
    <t>Gemini (T=2)</t>
  </si>
  <si>
    <t>https://www.uni-trier.de/universitaet/fachbereiche-faecher/fachbereich-iv/faecher/betriebswirtschaftslehre/team/fin/forschung/research-data</t>
  </si>
  <si>
    <t>Human Data Source:</t>
  </si>
  <si>
    <t>Sheet</t>
  </si>
  <si>
    <t>Explanation</t>
  </si>
  <si>
    <t xml:space="preserve">Trimmed Mean: </t>
  </si>
  <si>
    <t>This is the main sheet that is used by the code. It contains the trimmed responses of                                             a. LLMs, which are derived from 3. raw_data_combined.xlsx below.                                                                                    b. and humans, which are retrieved from https://www.uni-trier.de/universitaet/fachbereiche-faecher/fachbereich-iv/faecher/betriebswirtschaftslehre/team/fin/forschung/research-data.    These data are calculated using mean trimming of 10% (10% bottom and 10% top)</t>
  </si>
  <si>
    <t>Hyperbolic</t>
  </si>
  <si>
    <t xml:space="preserve">This sheet contains the delta and beta results, which are obtained from the raw data. </t>
  </si>
  <si>
    <t>Expected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</si>
</sst>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1F2328"/>
      <name val="Segoe UI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2C6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41">
    <xf numFmtId="0" fontId="0" fillId="0" borderId="0" xfId="0"/>
    <xf numFmtId="0" fontId="22" fillId="0" borderId="10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2" fontId="23" fillId="44" borderId="10" xfId="0" applyNumberFormat="1" applyFont="1" applyFill="1" applyBorder="1"/>
    <xf numFmtId="2" fontId="23" fillId="45" borderId="10" xfId="0" applyNumberFormat="1" applyFont="1" applyFill="1" applyBorder="1"/>
    <xf numFmtId="0" fontId="22" fillId="0" borderId="10" xfId="0" applyFont="1" applyBorder="1" applyAlignment="1">
      <alignment horizontal="left" vertical="top"/>
    </xf>
    <xf numFmtId="2" fontId="23" fillId="33" borderId="10" xfId="0" applyNumberFormat="1" applyFont="1" applyFill="1" applyBorder="1"/>
    <xf numFmtId="2" fontId="23" fillId="34" borderId="10" xfId="0" applyNumberFormat="1" applyFont="1" applyFill="1" applyBorder="1"/>
    <xf numFmtId="2" fontId="23" fillId="35" borderId="10" xfId="0" applyNumberFormat="1" applyFont="1" applyFill="1" applyBorder="1"/>
    <xf numFmtId="2" fontId="23" fillId="36" borderId="10" xfId="0" applyNumberFormat="1" applyFont="1" applyFill="1" applyBorder="1"/>
    <xf numFmtId="2" fontId="23" fillId="38" borderId="10" xfId="0" applyNumberFormat="1" applyFont="1" applyFill="1" applyBorder="1"/>
    <xf numFmtId="2" fontId="23" fillId="39" borderId="10" xfId="0" applyNumberFormat="1" applyFont="1" applyFill="1" applyBorder="1"/>
    <xf numFmtId="2" fontId="23" fillId="40" borderId="10" xfId="0" applyNumberFormat="1" applyFont="1" applyFill="1" applyBorder="1"/>
    <xf numFmtId="2" fontId="23" fillId="41" borderId="10" xfId="0" applyNumberFormat="1" applyFont="1" applyFill="1" applyBorder="1"/>
    <xf numFmtId="2" fontId="23" fillId="42" borderId="10" xfId="0" applyNumberFormat="1" applyFont="1" applyFill="1" applyBorder="1"/>
    <xf numFmtId="2" fontId="23" fillId="43" borderId="10" xfId="0" applyNumberFormat="1" applyFont="1" applyFill="1" applyBorder="1"/>
    <xf numFmtId="2" fontId="23" fillId="37" borderId="10" xfId="0" applyNumberFormat="1" applyFont="1" applyFill="1" applyBorder="1"/>
    <xf numFmtId="2" fontId="1" fillId="34" borderId="10" xfId="0" applyNumberFormat="1" applyFont="1" applyFill="1" applyBorder="1"/>
    <xf numFmtId="2" fontId="4" fillId="37" borderId="10" xfId="0" applyNumberFormat="1" applyFont="1" applyFill="1" applyBorder="1"/>
    <xf numFmtId="2" fontId="4" fillId="40" borderId="10" xfId="0" applyNumberFormat="1" applyFont="1" applyFill="1" applyBorder="1"/>
    <xf numFmtId="2" fontId="24" fillId="46" borderId="10" xfId="0" applyNumberFormat="1" applyFont="1" applyFill="1" applyBorder="1"/>
    <xf numFmtId="2" fontId="4" fillId="38" borderId="10" xfId="0" applyNumberFormat="1" applyFont="1" applyFill="1" applyBorder="1"/>
    <xf numFmtId="2" fontId="24" fillId="47" borderId="10" xfId="0" applyNumberFormat="1" applyFont="1" applyFill="1" applyBorder="1"/>
    <xf numFmtId="2" fontId="3" fillId="34" borderId="11" xfId="0" applyNumberFormat="1" applyFont="1" applyFill="1" applyBorder="1"/>
    <xf numFmtId="2" fontId="2" fillId="35" borderId="10" xfId="0" applyNumberFormat="1" applyFont="1" applyFill="1" applyBorder="1"/>
    <xf numFmtId="2" fontId="27" fillId="36" borderId="0" xfId="0" applyNumberFormat="1" applyFont="1" applyFill="1"/>
    <xf numFmtId="2" fontId="27" fillId="48" borderId="0" xfId="0" applyNumberFormat="1" applyFont="1" applyFill="1"/>
    <xf numFmtId="0" fontId="1" fillId="0" borderId="10" xfId="0" applyFont="1" applyBorder="1"/>
    <xf numFmtId="0" fontId="28" fillId="0" borderId="10" xfId="0" applyFont="1" applyBorder="1" applyAlignment="1">
      <alignment horizontal="center" vertical="center"/>
    </xf>
    <xf numFmtId="0" fontId="26" fillId="0" borderId="0" xfId="42"/>
    <xf numFmtId="165" fontId="23" fillId="34" borderId="10" xfId="0" applyNumberFormat="1" applyFont="1" applyFill="1" applyBorder="1"/>
    <xf numFmtId="165" fontId="23" fillId="35" borderId="10" xfId="0" applyNumberFormat="1" applyFont="1" applyFill="1" applyBorder="1"/>
    <xf numFmtId="165" fontId="1" fillId="34" borderId="10" xfId="0" applyNumberFormat="1" applyFont="1" applyFill="1" applyBorder="1"/>
    <xf numFmtId="165" fontId="3" fillId="34" borderId="11" xfId="0" applyNumberFormat="1" applyFont="1" applyFill="1" applyBorder="1"/>
    <xf numFmtId="165" fontId="2" fillId="35" borderId="10" xfId="0" applyNumberFormat="1" applyFont="1" applyFill="1" applyBorder="1"/>
    <xf numFmtId="0" fontId="29" fillId="0" borderId="10" xfId="0" applyFont="1" applyBorder="1" applyAlignment="1">
      <alignment horizontal="right" vertical="center"/>
    </xf>
    <xf numFmtId="0" fontId="30" fillId="0" borderId="0" xfId="0" applyFont="1"/>
    <xf numFmtId="0" fontId="0" fillId="0" borderId="0" xfId="0" applyAlignment="1">
      <alignment wrapText="1"/>
    </xf>
    <xf numFmtId="0" fontId="20" fillId="0" borderId="0" xfId="0" applyFont="1" applyAlignment="1">
      <alignment vertical="center"/>
    </xf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-trier.de/universitaet/fachbereiche-faecher/fachbereich-iv/faecher/betriebswirtschaftslehre/team/fin/forschung/research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F567-F8BE-4CC1-9261-0D3364907DAE}">
  <dimension ref="A1:P75"/>
  <sheetViews>
    <sheetView zoomScale="70" zoomScaleNormal="7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H67" sqref="H67"/>
    </sheetView>
  </sheetViews>
  <sheetFormatPr defaultColWidth="8.88671875" defaultRowHeight="14.4"/>
  <cols>
    <col min="1" max="1" width="2.33203125" bestFit="1" customWidth="1"/>
    <col min="2" max="2" width="21.109375" customWidth="1"/>
    <col min="3" max="3" width="12" bestFit="1" customWidth="1"/>
    <col min="4" max="4" width="14.33203125" bestFit="1" customWidth="1"/>
    <col min="5" max="5" width="15.33203125" bestFit="1" customWidth="1"/>
    <col min="6" max="6" width="12" bestFit="1" customWidth="1"/>
    <col min="7" max="7" width="13.6640625" bestFit="1" customWidth="1"/>
    <col min="8" max="9" width="13" bestFit="1" customWidth="1"/>
    <col min="10" max="10" width="15.33203125" bestFit="1" customWidth="1"/>
    <col min="11" max="11" width="13" bestFit="1" customWidth="1"/>
    <col min="12" max="12" width="14.109375" bestFit="1" customWidth="1"/>
    <col min="13" max="15" width="13" bestFit="1" customWidth="1"/>
    <col min="16" max="16" width="15.109375" customWidth="1"/>
  </cols>
  <sheetData>
    <row r="1" spans="1:16">
      <c r="A1" t="s">
        <v>75</v>
      </c>
      <c r="B1" s="6" t="s">
        <v>91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>
      <c r="A2">
        <v>1</v>
      </c>
      <c r="B2" s="6" t="s">
        <v>3</v>
      </c>
      <c r="C2" s="2">
        <v>0.53191489361702127</v>
      </c>
      <c r="D2" s="2">
        <v>675.51082253571417</v>
      </c>
      <c r="E2" s="2">
        <v>9104.2931827024986</v>
      </c>
      <c r="F2" s="2">
        <v>0.62222222222222223</v>
      </c>
      <c r="G2" s="2">
        <v>39.181818181872337</v>
      </c>
      <c r="H2" s="2">
        <v>28.17125725297873</v>
      </c>
      <c r="I2" s="2">
        <v>40.003094777085103</v>
      </c>
      <c r="J2" s="2">
        <v>336.98065763951058</v>
      </c>
      <c r="K2" s="2">
        <v>16.18704061878724</v>
      </c>
      <c r="L2" s="2">
        <v>77.569632494765955</v>
      </c>
      <c r="M2" s="2">
        <v>36.858585858177783</v>
      </c>
      <c r="N2" s="2">
        <v>41.290909090911107</v>
      </c>
      <c r="O2" s="2">
        <v>100.4367588932391</v>
      </c>
      <c r="P2" s="2">
        <v>238.76239669479551</v>
      </c>
    </row>
    <row r="3" spans="1:16">
      <c r="A3">
        <v>1</v>
      </c>
      <c r="B3" s="6" t="s">
        <v>4</v>
      </c>
      <c r="C3" s="2">
        <v>0.66666666666666663</v>
      </c>
      <c r="D3" s="2">
        <v>347.63068782857152</v>
      </c>
      <c r="E3" s="2">
        <v>3239.4814814523811</v>
      </c>
      <c r="F3" s="2">
        <v>0.39583333333333331</v>
      </c>
      <c r="G3" s="2">
        <v>36.317129629083333</v>
      </c>
      <c r="H3" s="2">
        <v>20.509259953833329</v>
      </c>
      <c r="I3" s="2">
        <v>37.511574074374998</v>
      </c>
      <c r="J3" s="2">
        <v>899.02777774189587</v>
      </c>
      <c r="K3" s="2">
        <v>4.494089834425532</v>
      </c>
      <c r="L3" s="2">
        <v>63.425925923208332</v>
      </c>
      <c r="M3" s="2">
        <v>32.030732859468088</v>
      </c>
      <c r="N3" s="2">
        <v>37.850241545717388</v>
      </c>
      <c r="O3" s="2">
        <v>37.146464646444443</v>
      </c>
      <c r="P3" s="2">
        <v>154.57070706886361</v>
      </c>
    </row>
    <row r="4" spans="1:16">
      <c r="A4">
        <v>1</v>
      </c>
      <c r="B4" s="6" t="s">
        <v>5</v>
      </c>
      <c r="C4" s="2">
        <v>0.51239669421487599</v>
      </c>
      <c r="D4" s="2">
        <v>138.80311883333329</v>
      </c>
      <c r="E4" s="2">
        <v>1486.1005005135139</v>
      </c>
      <c r="F4" s="2">
        <v>0.52892561983471076</v>
      </c>
      <c r="G4" s="2">
        <v>45.925619834958667</v>
      </c>
      <c r="H4" s="2">
        <v>23.943067033842979</v>
      </c>
      <c r="I4" s="2">
        <v>47.106481481200007</v>
      </c>
      <c r="J4" s="2">
        <v>488.16069785363641</v>
      </c>
      <c r="K4" s="2">
        <v>4.4820936637520656</v>
      </c>
      <c r="L4" s="2">
        <v>53.354629627483327</v>
      </c>
      <c r="M4" s="2">
        <v>27.886554621336131</v>
      </c>
      <c r="N4" s="2">
        <v>30.81746031754621</v>
      </c>
      <c r="O4" s="2">
        <v>43.445616881696417</v>
      </c>
      <c r="P4" s="2">
        <v>140.06944444228569</v>
      </c>
    </row>
    <row r="5" spans="1:16">
      <c r="A5">
        <v>1</v>
      </c>
      <c r="B5" s="6" t="s">
        <v>6</v>
      </c>
      <c r="C5" s="2">
        <v>0.96491228070175439</v>
      </c>
      <c r="D5" s="2">
        <v>225.18518518518519</v>
      </c>
      <c r="E5" s="2">
        <v>1546.7219233877549</v>
      </c>
      <c r="F5" s="2">
        <v>0.57894736842105265</v>
      </c>
      <c r="G5" s="2">
        <v>48.457446808510639</v>
      </c>
      <c r="H5" s="2">
        <v>21.508771929824562</v>
      </c>
      <c r="I5" s="2">
        <v>39.709090909090911</v>
      </c>
      <c r="J5" s="2">
        <v>514.24561403508767</v>
      </c>
      <c r="K5" s="2">
        <v>3.651851851851851</v>
      </c>
      <c r="L5" s="2">
        <v>46.892857142857153</v>
      </c>
      <c r="M5" s="2">
        <v>26.872727272727271</v>
      </c>
      <c r="N5" s="2">
        <v>31.418181818181822</v>
      </c>
      <c r="O5" s="2">
        <v>43.301818181818192</v>
      </c>
      <c r="P5" s="2">
        <v>180.29090909090911</v>
      </c>
    </row>
    <row r="6" spans="1:16">
      <c r="A6">
        <v>1</v>
      </c>
      <c r="B6" s="6" t="s">
        <v>88</v>
      </c>
      <c r="C6" s="2">
        <v>0.46938775510204078</v>
      </c>
      <c r="D6" s="2">
        <v>809.48</v>
      </c>
      <c r="E6" s="2">
        <v>9214.1304347826081</v>
      </c>
      <c r="F6" s="2">
        <v>0.44897959183673469</v>
      </c>
      <c r="G6" s="2">
        <v>51.520618556701031</v>
      </c>
      <c r="H6" s="2">
        <v>40.180412371134018</v>
      </c>
      <c r="I6" s="2">
        <v>50.051546391752581</v>
      </c>
      <c r="J6" s="2">
        <v>227.03125</v>
      </c>
      <c r="K6" s="2">
        <v>28.092783505154639</v>
      </c>
      <c r="L6" s="2">
        <v>100.4742268041237</v>
      </c>
      <c r="M6" s="2">
        <v>32.926966292134829</v>
      </c>
      <c r="N6" s="2">
        <v>35.451807228915662</v>
      </c>
      <c r="O6" s="2">
        <v>79.791666666666671</v>
      </c>
      <c r="P6" s="2">
        <v>163.27380952380949</v>
      </c>
    </row>
    <row r="7" spans="1:16">
      <c r="A7">
        <v>1</v>
      </c>
      <c r="B7" s="6" t="s">
        <v>8</v>
      </c>
      <c r="C7" s="2">
        <v>0.94736842105263153</v>
      </c>
      <c r="D7" s="2">
        <v>200.9473684210526</v>
      </c>
      <c r="E7" s="2">
        <v>1011.351351351351</v>
      </c>
      <c r="F7" s="2">
        <v>0.23684210526315791</v>
      </c>
      <c r="G7" s="2">
        <v>42.237837837837837</v>
      </c>
      <c r="H7" s="2">
        <v>22.891891891891891</v>
      </c>
      <c r="I7" s="2">
        <v>44.486486486486477</v>
      </c>
      <c r="J7" s="2">
        <v>1035.1891891891889</v>
      </c>
      <c r="K7" s="2">
        <v>4.8486486486486484</v>
      </c>
      <c r="L7" s="2">
        <v>69.729729729729726</v>
      </c>
      <c r="M7" s="2">
        <v>33.25714285714286</v>
      </c>
      <c r="N7" s="2">
        <v>42.162162162162161</v>
      </c>
      <c r="O7" s="2">
        <v>48.918918918918919</v>
      </c>
      <c r="P7" s="2">
        <v>187.027027027027</v>
      </c>
    </row>
    <row r="8" spans="1:16">
      <c r="A8">
        <v>1</v>
      </c>
      <c r="B8" s="6" t="s">
        <v>76</v>
      </c>
      <c r="C8" s="2">
        <v>0.36666666666666659</v>
      </c>
      <c r="D8" s="2">
        <v>8994.5066670580018</v>
      </c>
      <c r="E8" s="2">
        <v>156066.31292762241</v>
      </c>
      <c r="F8" s="2">
        <v>0.46666666666666667</v>
      </c>
      <c r="G8" s="2">
        <v>31.687499999966661</v>
      </c>
      <c r="H8" s="2">
        <v>18.708333332983329</v>
      </c>
      <c r="I8" s="2">
        <v>32.118644067237291</v>
      </c>
      <c r="J8" s="2">
        <v>78.131944444366667</v>
      </c>
      <c r="K8" s="2">
        <v>6.826388888666667</v>
      </c>
      <c r="L8" s="2">
        <v>24.958333333533329</v>
      </c>
      <c r="M8" s="2">
        <v>26.742424242799999</v>
      </c>
      <c r="N8" s="2">
        <v>22.272727272472721</v>
      </c>
      <c r="O8" s="2">
        <v>98.172982456298243</v>
      </c>
      <c r="P8" s="2">
        <v>232.83479531742111</v>
      </c>
    </row>
    <row r="9" spans="1:16">
      <c r="A9">
        <v>1</v>
      </c>
      <c r="B9" s="6" t="s">
        <v>10</v>
      </c>
      <c r="C9" s="2">
        <v>0.8529411764705882</v>
      </c>
      <c r="D9" s="2">
        <v>190.27941176470591</v>
      </c>
      <c r="E9" s="2">
        <v>1899.667352941176</v>
      </c>
      <c r="F9" s="2">
        <v>0.3235294117647059</v>
      </c>
      <c r="G9" s="2">
        <v>35.838235294117638</v>
      </c>
      <c r="H9" s="2">
        <v>17.205882352941181</v>
      </c>
      <c r="I9" s="2">
        <v>32.75</v>
      </c>
      <c r="J9" s="2">
        <v>422.20588235294122</v>
      </c>
      <c r="K9" s="2">
        <v>3.1632352941176469</v>
      </c>
      <c r="L9" s="2">
        <v>41.779411764705877</v>
      </c>
      <c r="M9" s="2">
        <v>28.352941176470591</v>
      </c>
      <c r="N9" s="2">
        <v>34.823529411764703</v>
      </c>
      <c r="O9" s="2">
        <v>51.830882352941167</v>
      </c>
      <c r="P9" s="2">
        <v>230.75</v>
      </c>
    </row>
    <row r="10" spans="1:16">
      <c r="A10">
        <v>1</v>
      </c>
      <c r="B10" s="6" t="s">
        <v>11</v>
      </c>
      <c r="C10" s="2">
        <v>0.33750000000000002</v>
      </c>
      <c r="D10" s="2">
        <v>660.07692307692309</v>
      </c>
      <c r="E10" s="2">
        <v>2936.9333333333329</v>
      </c>
      <c r="F10" s="2">
        <v>0.27500000000000002</v>
      </c>
      <c r="G10" s="2">
        <v>33</v>
      </c>
      <c r="H10" s="2">
        <v>27.324999999999999</v>
      </c>
      <c r="I10" s="2">
        <v>43.212499999999999</v>
      </c>
      <c r="J10" s="2">
        <v>360.375</v>
      </c>
      <c r="K10" s="2">
        <v>5.0374999999999996</v>
      </c>
      <c r="L10" s="2">
        <v>46.274999999999999</v>
      </c>
      <c r="M10" s="2">
        <v>46.05</v>
      </c>
      <c r="N10" s="2">
        <v>54.6</v>
      </c>
      <c r="O10" s="2">
        <v>64.349999999999994</v>
      </c>
      <c r="P10" s="2">
        <v>244.08750000000001</v>
      </c>
    </row>
    <row r="11" spans="1:16">
      <c r="A11">
        <v>1</v>
      </c>
      <c r="B11" s="6" t="s">
        <v>12</v>
      </c>
      <c r="C11" s="2">
        <v>0.65365853658536588</v>
      </c>
      <c r="D11" s="2">
        <v>514.52970297029708</v>
      </c>
      <c r="E11" s="2">
        <v>14937.32338308458</v>
      </c>
      <c r="F11" s="2">
        <v>0.28780487804878052</v>
      </c>
      <c r="G11" s="2">
        <v>45.820895522388057</v>
      </c>
      <c r="H11" s="2">
        <v>26.95145631067961</v>
      </c>
      <c r="I11" s="2">
        <v>46.99512195121951</v>
      </c>
      <c r="J11" s="2">
        <v>1055.7087378640781</v>
      </c>
      <c r="K11" s="2">
        <v>5.8145631067961174</v>
      </c>
      <c r="L11" s="2">
        <v>81.300970873786412</v>
      </c>
      <c r="M11" s="2">
        <v>29.644660194174762</v>
      </c>
      <c r="N11" s="2">
        <v>37.310679611650492</v>
      </c>
      <c r="O11" s="2">
        <v>48.134243902439017</v>
      </c>
      <c r="P11" s="2">
        <v>218.79024390243899</v>
      </c>
    </row>
    <row r="12" spans="1:16">
      <c r="A12">
        <v>1</v>
      </c>
      <c r="B12" s="6" t="s">
        <v>13</v>
      </c>
      <c r="C12" s="2">
        <v>0.6470588235294118</v>
      </c>
      <c r="D12" s="2">
        <v>480.8957168141593</v>
      </c>
      <c r="E12" s="2">
        <v>6820.9920857142861</v>
      </c>
      <c r="F12" s="2">
        <v>0.5</v>
      </c>
      <c r="G12" s="2">
        <v>16.07421672268908</v>
      </c>
      <c r="H12" s="2">
        <v>9.3808708474576257</v>
      </c>
      <c r="I12" s="2">
        <v>17.63223</v>
      </c>
      <c r="J12" s="2">
        <v>89.509346153846167</v>
      </c>
      <c r="K12" s="2">
        <v>2.2923938135593209</v>
      </c>
      <c r="L12" s="2">
        <v>19.86732813559323</v>
      </c>
      <c r="M12" s="2">
        <v>20.68721211864408</v>
      </c>
      <c r="N12" s="2">
        <v>23.354310000000009</v>
      </c>
      <c r="O12" s="2">
        <v>58.621862068965513</v>
      </c>
      <c r="P12" s="2">
        <v>204.66354310344829</v>
      </c>
    </row>
    <row r="13" spans="1:16">
      <c r="A13">
        <v>1</v>
      </c>
      <c r="B13" s="6" t="s">
        <v>14</v>
      </c>
      <c r="C13" s="2">
        <v>0.60215053763440862</v>
      </c>
      <c r="D13" s="2">
        <v>554.99999999673912</v>
      </c>
      <c r="E13" s="2">
        <v>6083.949275402174</v>
      </c>
      <c r="F13" s="2">
        <v>0.37634408602150538</v>
      </c>
      <c r="G13" s="2">
        <v>25.89247311775269</v>
      </c>
      <c r="H13" s="2">
        <v>18.874551970870971</v>
      </c>
      <c r="I13" s="2">
        <v>28.673118279172041</v>
      </c>
      <c r="J13" s="2">
        <v>141.32616487435479</v>
      </c>
      <c r="K13" s="2">
        <v>5.9031541215698917</v>
      </c>
      <c r="L13" s="2">
        <v>31.583512542741939</v>
      </c>
      <c r="M13" s="2">
        <v>20.207885304408599</v>
      </c>
      <c r="N13" s="2">
        <v>23.161290322301081</v>
      </c>
      <c r="O13" s="2">
        <v>104.8387096758817</v>
      </c>
      <c r="P13" s="2">
        <v>278.67383512534411</v>
      </c>
    </row>
    <row r="14" spans="1:16">
      <c r="A14">
        <v>1</v>
      </c>
      <c r="B14" s="6" t="s">
        <v>15</v>
      </c>
      <c r="C14" s="2">
        <v>0.85365853658536583</v>
      </c>
      <c r="D14" s="2">
        <v>308.8319088230769</v>
      </c>
      <c r="E14" s="2">
        <v>2726.1111110050001</v>
      </c>
      <c r="F14" s="2">
        <v>0.17073170731707321</v>
      </c>
      <c r="G14" s="2">
        <v>42.343224932439028</v>
      </c>
      <c r="H14" s="2">
        <v>23.870731706390242</v>
      </c>
      <c r="I14" s="2">
        <v>38.699024390000012</v>
      </c>
      <c r="J14" s="2">
        <v>498.07317072463411</v>
      </c>
      <c r="K14" s="2">
        <v>4.7154471544390244</v>
      </c>
      <c r="L14" s="2">
        <v>56.510840107463423</v>
      </c>
      <c r="M14" s="2">
        <v>29.999999998804881</v>
      </c>
      <c r="N14" s="2">
        <v>34.986449864804882</v>
      </c>
      <c r="O14" s="2">
        <v>66.070460707073167</v>
      </c>
      <c r="P14" s="2">
        <v>227.78048780487799</v>
      </c>
    </row>
    <row r="15" spans="1:16">
      <c r="A15">
        <v>1</v>
      </c>
      <c r="B15" s="6" t="s">
        <v>16</v>
      </c>
      <c r="C15" s="2">
        <v>0.9152542372881356</v>
      </c>
      <c r="D15" s="2">
        <v>164.80508474576271</v>
      </c>
      <c r="E15" s="2">
        <v>1579.690087045763</v>
      </c>
      <c r="F15" s="2">
        <v>0.38983050847457629</v>
      </c>
      <c r="G15" s="2">
        <v>42.898305084745758</v>
      </c>
      <c r="H15" s="2">
        <v>25.033898305084751</v>
      </c>
      <c r="I15" s="2">
        <v>44.118644067796609</v>
      </c>
      <c r="J15" s="2">
        <v>698.98305084745766</v>
      </c>
      <c r="K15" s="2">
        <v>3.446610169491525</v>
      </c>
      <c r="L15" s="2">
        <v>53.402542372881364</v>
      </c>
      <c r="M15" s="2">
        <v>36.66949152542373</v>
      </c>
      <c r="N15" s="2">
        <v>45.618644067796609</v>
      </c>
      <c r="O15" s="2">
        <v>52.733050847457633</v>
      </c>
      <c r="P15" s="2">
        <v>294.75</v>
      </c>
    </row>
    <row r="16" spans="1:16">
      <c r="A16">
        <v>1</v>
      </c>
      <c r="B16" s="6" t="s">
        <v>17</v>
      </c>
      <c r="C16" s="2">
        <v>0.84313725490196079</v>
      </c>
      <c r="D16" s="2">
        <v>904.9019607843137</v>
      </c>
      <c r="E16" s="2">
        <v>11392.1568627451</v>
      </c>
      <c r="F16" s="2">
        <v>0.49019607843137247</v>
      </c>
      <c r="G16" s="2">
        <v>17.745098039215691</v>
      </c>
      <c r="H16" s="2">
        <v>7.1078431372549016</v>
      </c>
      <c r="I16" s="2">
        <v>17.921568627450981</v>
      </c>
      <c r="J16" s="2">
        <v>95.666666666666671</v>
      </c>
      <c r="K16" s="2">
        <v>1.61078431372549</v>
      </c>
      <c r="L16" s="2">
        <v>12.754901960784309</v>
      </c>
      <c r="M16" s="2">
        <v>18.85148514851485</v>
      </c>
      <c r="N16" s="2">
        <v>23.306930693069312</v>
      </c>
      <c r="O16" s="2">
        <v>112.8039215686274</v>
      </c>
      <c r="P16" s="2">
        <v>706.76666666666665</v>
      </c>
    </row>
    <row r="17" spans="1:16">
      <c r="A17">
        <v>1</v>
      </c>
      <c r="B17" s="6" t="s">
        <v>18</v>
      </c>
      <c r="C17" s="2">
        <v>0.94202898550724634</v>
      </c>
      <c r="D17" s="2">
        <v>100.30690537072461</v>
      </c>
      <c r="E17" s="2">
        <v>399.45652174202888</v>
      </c>
      <c r="F17" s="2">
        <v>0.47826086956521741</v>
      </c>
      <c r="G17" s="2">
        <v>33.452685422173907</v>
      </c>
      <c r="H17" s="2">
        <v>18.120204604637689</v>
      </c>
      <c r="I17" s="2">
        <v>31.32352941210145</v>
      </c>
      <c r="J17" s="2">
        <v>698.1457800690722</v>
      </c>
      <c r="K17" s="2">
        <v>3.0741687978985501</v>
      </c>
      <c r="L17" s="2">
        <v>50.767263428144943</v>
      </c>
      <c r="M17" s="2">
        <v>21.52161125336233</v>
      </c>
      <c r="N17" s="2">
        <v>29.295140666057971</v>
      </c>
      <c r="O17" s="2">
        <v>36.342710998260863</v>
      </c>
      <c r="P17" s="2">
        <v>149.45012788086959</v>
      </c>
    </row>
    <row r="18" spans="1:16">
      <c r="A18">
        <v>1</v>
      </c>
      <c r="B18" s="6" t="s">
        <v>19</v>
      </c>
      <c r="C18" s="2">
        <v>0.6785714285714286</v>
      </c>
      <c r="D18" s="2">
        <v>600.22321428571433</v>
      </c>
      <c r="E18" s="2">
        <v>7019.1964285714284</v>
      </c>
      <c r="F18" s="2">
        <v>0.45535714285714279</v>
      </c>
      <c r="G18" s="2">
        <v>29.598125</v>
      </c>
      <c r="H18" s="2">
        <v>14.59821428571429</v>
      </c>
      <c r="I18" s="2">
        <v>31.106249999999999</v>
      </c>
      <c r="J18" s="2">
        <v>219.15089285714291</v>
      </c>
      <c r="K18" s="2">
        <v>3.3616964285714279</v>
      </c>
      <c r="L18" s="2">
        <v>30.75</v>
      </c>
      <c r="M18" s="2">
        <v>28.802678571428569</v>
      </c>
      <c r="N18" s="2">
        <v>37.86071428571428</v>
      </c>
      <c r="O18" s="2">
        <v>55.973214285714278</v>
      </c>
      <c r="P18" s="2">
        <v>242.75892857142861</v>
      </c>
    </row>
    <row r="19" spans="1:16">
      <c r="A19">
        <v>1</v>
      </c>
      <c r="B19" s="6" t="s">
        <v>20</v>
      </c>
      <c r="C19" s="2">
        <v>0.21875</v>
      </c>
      <c r="D19" s="2">
        <v>34340</v>
      </c>
      <c r="E19" s="2">
        <v>246258.064516129</v>
      </c>
      <c r="F19" s="2">
        <v>0.46875</v>
      </c>
      <c r="G19" s="2">
        <v>37.8125</v>
      </c>
      <c r="H19" s="2">
        <v>26.375</v>
      </c>
      <c r="I19" s="2">
        <v>37.3125</v>
      </c>
      <c r="J19" s="2">
        <v>426.40625</v>
      </c>
      <c r="K19" s="2">
        <v>19.032258064516132</v>
      </c>
      <c r="L19" s="2">
        <v>86.875</v>
      </c>
      <c r="M19" s="2">
        <v>75.535714285714292</v>
      </c>
      <c r="N19" s="2">
        <v>82.666666666666671</v>
      </c>
      <c r="O19" s="2">
        <v>206.4655172413793</v>
      </c>
      <c r="P19" s="2">
        <v>642.66666666666663</v>
      </c>
    </row>
    <row r="20" spans="1:16">
      <c r="A20">
        <v>1</v>
      </c>
      <c r="B20" s="6" t="s">
        <v>21</v>
      </c>
      <c r="C20" s="2">
        <v>0.99076212471131642</v>
      </c>
      <c r="D20" s="2">
        <v>341.97169811320748</v>
      </c>
      <c r="E20" s="2">
        <v>3644.592771084338</v>
      </c>
      <c r="F20" s="2">
        <v>0.53472222222222221</v>
      </c>
      <c r="G20" s="2">
        <v>29.48263279445727</v>
      </c>
      <c r="H20" s="2">
        <v>14.21527777777778</v>
      </c>
      <c r="I20" s="2">
        <v>28.04387990762125</v>
      </c>
      <c r="J20" s="2">
        <v>180.23611111111109</v>
      </c>
      <c r="K20" s="2">
        <v>2.643543123543123</v>
      </c>
      <c r="L20" s="2">
        <v>26.216241299303949</v>
      </c>
      <c r="M20" s="2">
        <v>25.424481132075471</v>
      </c>
      <c r="N20" s="2">
        <v>31.73674528301887</v>
      </c>
      <c r="O20" s="2">
        <v>61.062690566037737</v>
      </c>
      <c r="P20" s="2">
        <v>283.19063529411773</v>
      </c>
    </row>
    <row r="21" spans="1:16">
      <c r="A21">
        <v>1</v>
      </c>
      <c r="B21" s="6" t="s">
        <v>22</v>
      </c>
      <c r="C21" s="2">
        <v>0.45833333333333331</v>
      </c>
      <c r="D21" s="2">
        <v>623.91304347826087</v>
      </c>
      <c r="E21" s="2">
        <v>11256.81818181818</v>
      </c>
      <c r="F21" s="2">
        <v>0.39583333333333331</v>
      </c>
      <c r="G21" s="2">
        <v>77.239583333333329</v>
      </c>
      <c r="H21" s="2">
        <v>28.59375</v>
      </c>
      <c r="I21" s="2">
        <v>47.34375</v>
      </c>
      <c r="J21" s="2">
        <v>120.15625</v>
      </c>
      <c r="K21" s="2">
        <v>9.453125</v>
      </c>
      <c r="L21" s="2">
        <v>32.552083333333343</v>
      </c>
      <c r="M21" s="2">
        <v>26.13636363636364</v>
      </c>
      <c r="N21" s="2">
        <v>25.11363636363636</v>
      </c>
      <c r="O21" s="2">
        <v>68.563829787234042</v>
      </c>
      <c r="P21" s="2">
        <v>204.57446808510639</v>
      </c>
    </row>
    <row r="22" spans="1:16">
      <c r="A22">
        <v>1</v>
      </c>
      <c r="B22" s="6" t="s">
        <v>23</v>
      </c>
      <c r="C22" s="2">
        <v>0.86419753086419748</v>
      </c>
      <c r="D22" s="2">
        <v>311.95767196913579</v>
      </c>
      <c r="E22" s="2">
        <v>4211.7857147187506</v>
      </c>
      <c r="F22" s="2">
        <v>0.32098765432098758</v>
      </c>
      <c r="G22" s="2">
        <v>16.63492063601235</v>
      </c>
      <c r="H22" s="2">
        <v>4.7001763673950618</v>
      </c>
      <c r="I22" s="2">
        <v>15.43738977185185</v>
      </c>
      <c r="J22" s="2">
        <v>90.574955914382713</v>
      </c>
      <c r="K22" s="2">
        <v>0.81657848339506178</v>
      </c>
      <c r="L22" s="2">
        <v>8.1393298066790134</v>
      </c>
      <c r="M22" s="2">
        <v>15.830687831975309</v>
      </c>
      <c r="N22" s="2">
        <v>22.12522045927161</v>
      </c>
      <c r="O22" s="2">
        <v>68.035449741481486</v>
      </c>
      <c r="P22" s="2">
        <v>297.94819645616252</v>
      </c>
    </row>
    <row r="23" spans="1:16">
      <c r="A23">
        <v>1</v>
      </c>
      <c r="B23" s="6" t="s">
        <v>24</v>
      </c>
      <c r="C23" s="2">
        <v>0.83333333333333337</v>
      </c>
      <c r="D23" s="2">
        <v>244.0722607572815</v>
      </c>
      <c r="E23" s="2">
        <v>1781.2687371106281</v>
      </c>
      <c r="F23" s="2">
        <v>0.3619047619047619</v>
      </c>
      <c r="G23" s="2">
        <v>25.05224489874286</v>
      </c>
      <c r="H23" s="2">
        <v>12.55986394652381</v>
      </c>
      <c r="I23" s="2">
        <v>27.136054422566669</v>
      </c>
      <c r="J23" s="2">
        <v>306.12098432545457</v>
      </c>
      <c r="K23" s="2">
        <v>2.720680272209524</v>
      </c>
      <c r="L23" s="2">
        <v>30.889115648333341</v>
      </c>
      <c r="M23" s="2">
        <v>23.191836735700001</v>
      </c>
      <c r="N23" s="2">
        <v>29.727891156823809</v>
      </c>
      <c r="O23" s="2">
        <v>56.445112785311011</v>
      </c>
      <c r="P23" s="2">
        <v>216.20421769033339</v>
      </c>
    </row>
    <row r="24" spans="1:16">
      <c r="A24">
        <v>1</v>
      </c>
      <c r="B24" s="6" t="s">
        <v>25</v>
      </c>
      <c r="C24" s="2">
        <v>0.61224489795918369</v>
      </c>
      <c r="D24" s="2">
        <v>360.20408163265307</v>
      </c>
      <c r="E24" s="2">
        <v>3289.374984612245</v>
      </c>
      <c r="F24" s="2">
        <v>0.1020408163265306</v>
      </c>
      <c r="G24" s="2">
        <v>50.408163265306122</v>
      </c>
      <c r="H24" s="2">
        <v>28.387755102040821</v>
      </c>
      <c r="I24" s="2">
        <v>44.632653061224488</v>
      </c>
      <c r="J24" s="2">
        <v>876.9387755102041</v>
      </c>
      <c r="K24" s="2">
        <v>3.804081632653062</v>
      </c>
      <c r="L24" s="2">
        <v>72.408163265306129</v>
      </c>
      <c r="M24" s="2">
        <v>26.673469387755102</v>
      </c>
      <c r="N24" s="2">
        <v>31.938775510204081</v>
      </c>
      <c r="O24" s="2">
        <v>66.020408163265301</v>
      </c>
      <c r="P24" s="2">
        <v>292.24489795918367</v>
      </c>
    </row>
    <row r="25" spans="1:16">
      <c r="A25">
        <v>1</v>
      </c>
      <c r="B25" s="6" t="s">
        <v>26</v>
      </c>
      <c r="C25" s="2">
        <v>0.73717948717948723</v>
      </c>
      <c r="D25" s="2">
        <v>179.63307241369861</v>
      </c>
      <c r="E25" s="2">
        <v>1035.9295499513701</v>
      </c>
      <c r="F25" s="2">
        <v>0.52564102564102566</v>
      </c>
      <c r="G25" s="2">
        <v>22.72701465277564</v>
      </c>
      <c r="H25" s="2">
        <v>11.130952381198719</v>
      </c>
      <c r="I25" s="2">
        <v>23.799450550076919</v>
      </c>
      <c r="J25" s="2">
        <v>148.384331800871</v>
      </c>
      <c r="K25" s="2">
        <v>2.9935064935714291</v>
      </c>
      <c r="L25" s="2">
        <v>22.724556490196079</v>
      </c>
      <c r="M25" s="2">
        <v>25.08018433232904</v>
      </c>
      <c r="N25" s="2">
        <v>31.879406308123379</v>
      </c>
      <c r="O25" s="2">
        <v>46.444992689868421</v>
      </c>
      <c r="P25" s="2">
        <v>182.1391223188235</v>
      </c>
    </row>
    <row r="26" spans="1:16">
      <c r="A26">
        <v>1</v>
      </c>
      <c r="B26" s="6" t="s">
        <v>27</v>
      </c>
      <c r="C26" s="2">
        <v>0.84466019417475724</v>
      </c>
      <c r="D26" s="2">
        <v>277.03296703296701</v>
      </c>
      <c r="E26" s="2">
        <v>2317.701149425287</v>
      </c>
      <c r="F26" s="2">
        <v>0.39805825242718451</v>
      </c>
      <c r="G26" s="2">
        <v>23.568932038834951</v>
      </c>
      <c r="H26" s="2">
        <v>13.79405940594059</v>
      </c>
      <c r="I26" s="2">
        <v>26.454901960784319</v>
      </c>
      <c r="J26" s="2">
        <v>198.54901960784309</v>
      </c>
      <c r="K26" s="2">
        <v>2.7124000000000001</v>
      </c>
      <c r="L26" s="2">
        <v>26.98252427184466</v>
      </c>
      <c r="M26" s="2">
        <v>21.725490196078429</v>
      </c>
      <c r="N26" s="2">
        <v>21.85821782178218</v>
      </c>
      <c r="O26" s="2">
        <v>69.722448979591832</v>
      </c>
      <c r="P26" s="2">
        <v>290.540206185567</v>
      </c>
    </row>
    <row r="27" spans="1:16">
      <c r="A27">
        <v>1</v>
      </c>
      <c r="B27" s="6" t="s">
        <v>28</v>
      </c>
      <c r="C27" s="2">
        <v>0.43076923076923079</v>
      </c>
      <c r="D27" s="2">
        <v>416.41379310344831</v>
      </c>
      <c r="E27" s="2">
        <v>5629.8387096774204</v>
      </c>
      <c r="F27" s="2">
        <v>0.46153846153846162</v>
      </c>
      <c r="G27" s="2">
        <v>31.261538461538461</v>
      </c>
      <c r="H27" s="2">
        <v>12.06153846153846</v>
      </c>
      <c r="I27" s="2">
        <v>27.753846153846151</v>
      </c>
      <c r="J27" s="2">
        <v>168.83076923076919</v>
      </c>
      <c r="K27" s="2">
        <v>3.9846153846153851</v>
      </c>
      <c r="L27" s="2">
        <v>26.84375</v>
      </c>
      <c r="M27" s="2">
        <v>32.369230769230768</v>
      </c>
      <c r="N27" s="2">
        <v>36.030769230769231</v>
      </c>
      <c r="O27" s="2">
        <v>73.599999999999994</v>
      </c>
      <c r="P27" s="2">
        <v>257.4153846153846</v>
      </c>
    </row>
    <row r="28" spans="1:16">
      <c r="A28">
        <v>1</v>
      </c>
      <c r="B28" s="6" t="s">
        <v>29</v>
      </c>
      <c r="C28" s="2">
        <v>0.80454545454545456</v>
      </c>
      <c r="D28" s="2">
        <v>278.4337899543379</v>
      </c>
      <c r="E28" s="2">
        <v>2350.821917808219</v>
      </c>
      <c r="F28" s="2">
        <v>0.35483870967741937</v>
      </c>
      <c r="G28" s="2">
        <v>38.448392857142863</v>
      </c>
      <c r="H28" s="2">
        <v>13.637397260273969</v>
      </c>
      <c r="I28" s="2">
        <v>29.145767441860471</v>
      </c>
      <c r="J28" s="2">
        <v>536.0691244239631</v>
      </c>
      <c r="K28" s="2">
        <v>2.2389908256880728</v>
      </c>
      <c r="L28" s="2">
        <v>28.302499999999998</v>
      </c>
      <c r="M28" s="2">
        <v>22.825462962962959</v>
      </c>
      <c r="N28" s="2">
        <v>31.322580645161288</v>
      </c>
      <c r="O28" s="2">
        <v>52.82093023255814</v>
      </c>
      <c r="P28" s="2">
        <v>328.62196261682237</v>
      </c>
    </row>
    <row r="29" spans="1:16">
      <c r="A29">
        <v>1</v>
      </c>
      <c r="B29" s="6" t="s">
        <v>30</v>
      </c>
      <c r="C29" s="2">
        <v>0.76543209876543206</v>
      </c>
      <c r="D29" s="2">
        <v>146.4740943298701</v>
      </c>
      <c r="E29" s="2">
        <v>616.52647310540544</v>
      </c>
      <c r="F29" s="2">
        <v>0.36249999999999999</v>
      </c>
      <c r="G29" s="2">
        <v>13.00584795345679</v>
      </c>
      <c r="H29" s="2">
        <v>7.4735855260249986</v>
      </c>
      <c r="I29" s="2">
        <v>14.751656919975311</v>
      </c>
      <c r="J29" s="2">
        <v>197.75834956125931</v>
      </c>
      <c r="K29" s="2">
        <v>0.74885640020987654</v>
      </c>
      <c r="L29" s="2">
        <v>17.321486841950001</v>
      </c>
      <c r="M29" s="2">
        <v>13.11841439007595</v>
      </c>
      <c r="N29" s="2">
        <v>15.1688326584359</v>
      </c>
      <c r="O29" s="2">
        <v>49.51754386086666</v>
      </c>
      <c r="P29" s="2">
        <v>175.97953215736109</v>
      </c>
    </row>
    <row r="30" spans="1:16">
      <c r="A30">
        <v>1</v>
      </c>
      <c r="B30" s="6" t="s">
        <v>31</v>
      </c>
      <c r="C30" s="2">
        <v>0.62352941176470589</v>
      </c>
      <c r="D30" s="2">
        <v>918.82716049382714</v>
      </c>
      <c r="E30" s="2">
        <v>15193.75</v>
      </c>
      <c r="F30" s="2">
        <v>0.6</v>
      </c>
      <c r="G30" s="2">
        <v>18.49702380952381</v>
      </c>
      <c r="H30" s="2">
        <v>10.66323529411765</v>
      </c>
      <c r="I30" s="2">
        <v>19.75882352941176</v>
      </c>
      <c r="J30" s="2">
        <v>114.1964285714286</v>
      </c>
      <c r="K30" s="2">
        <v>4.161029411764706</v>
      </c>
      <c r="L30" s="2">
        <v>15.56176470588235</v>
      </c>
      <c r="M30" s="2">
        <v>20.132352941176471</v>
      </c>
      <c r="N30" s="2">
        <v>23.75</v>
      </c>
      <c r="O30" s="2">
        <v>59.216867469879517</v>
      </c>
      <c r="P30" s="2">
        <v>185.55722891566259</v>
      </c>
    </row>
    <row r="31" spans="1:16">
      <c r="A31">
        <v>1</v>
      </c>
      <c r="B31" s="6" t="s">
        <v>32</v>
      </c>
      <c r="C31" s="2">
        <v>0.55555555555555558</v>
      </c>
      <c r="D31" s="2">
        <v>126.2401110843889</v>
      </c>
      <c r="E31" s="2">
        <v>698.23407391597232</v>
      </c>
      <c r="F31" s="2">
        <v>0.52777777777777779</v>
      </c>
      <c r="G31" s="2">
        <v>32.312592583888893</v>
      </c>
      <c r="H31" s="2">
        <v>19.612962957444442</v>
      </c>
      <c r="I31" s="2">
        <v>35.511111102250013</v>
      </c>
      <c r="J31" s="2">
        <v>1103.4574070436111</v>
      </c>
      <c r="K31" s="2">
        <v>3.7525925915277769</v>
      </c>
      <c r="L31" s="2">
        <v>64.379629606472236</v>
      </c>
      <c r="M31" s="2">
        <v>19.549999994555549</v>
      </c>
      <c r="N31" s="2">
        <v>22.39592592033333</v>
      </c>
      <c r="O31" s="2">
        <v>34.141666656527782</v>
      </c>
      <c r="P31" s="2">
        <v>121.01481478105561</v>
      </c>
    </row>
    <row r="32" spans="1:16">
      <c r="A32">
        <v>1</v>
      </c>
      <c r="B32" s="6" t="s">
        <v>33</v>
      </c>
      <c r="C32" s="2">
        <v>0.64197530864197527</v>
      </c>
      <c r="D32" s="2">
        <v>621.28571428571433</v>
      </c>
      <c r="E32" s="2">
        <v>6604.69696969697</v>
      </c>
      <c r="F32" s="2">
        <v>0.38461538461538458</v>
      </c>
      <c r="G32" s="2">
        <v>47.839506172839513</v>
      </c>
      <c r="H32" s="2">
        <v>30.151851851851859</v>
      </c>
      <c r="I32" s="2">
        <v>46.382716049382722</v>
      </c>
      <c r="J32" s="2">
        <v>289.30864197530872</v>
      </c>
      <c r="K32" s="2">
        <v>3.4012500000000001</v>
      </c>
      <c r="L32" s="2">
        <v>73.666666666666671</v>
      </c>
      <c r="M32" s="2">
        <v>18.16623376623377</v>
      </c>
      <c r="N32" s="2">
        <v>23.068354430379749</v>
      </c>
      <c r="O32" s="2">
        <v>55.575949367088597</v>
      </c>
      <c r="P32" s="2">
        <v>143.8987341772152</v>
      </c>
    </row>
    <row r="33" spans="1:16">
      <c r="A33">
        <v>1</v>
      </c>
      <c r="B33" s="6" t="s">
        <v>34</v>
      </c>
      <c r="C33" s="2">
        <v>0.60273972602739723</v>
      </c>
      <c r="D33" s="2">
        <v>462.00224315915489</v>
      </c>
      <c r="E33" s="2">
        <v>4720.4001581632356</v>
      </c>
      <c r="F33" s="2">
        <v>0.35616438356164382</v>
      </c>
      <c r="G33" s="2">
        <v>15.66940639268493</v>
      </c>
      <c r="H33" s="2">
        <v>5.9803652969589054</v>
      </c>
      <c r="I33" s="2">
        <v>15.228310502178079</v>
      </c>
      <c r="J33" s="2">
        <v>240.2800926066389</v>
      </c>
      <c r="K33" s="2">
        <v>1.1118055555277779</v>
      </c>
      <c r="L33" s="2">
        <v>15.86917808154795</v>
      </c>
      <c r="M33" s="2">
        <v>19.564840182630139</v>
      </c>
      <c r="N33" s="2">
        <v>23.769406392794519</v>
      </c>
      <c r="O33" s="2">
        <v>40.85648148166667</v>
      </c>
      <c r="P33" s="2">
        <v>170.85648147856941</v>
      </c>
    </row>
    <row r="34" spans="1:16">
      <c r="A34">
        <v>1</v>
      </c>
      <c r="B34" s="6" t="s">
        <v>35</v>
      </c>
      <c r="C34" s="2">
        <v>0.54320987654320985</v>
      </c>
      <c r="D34" s="2">
        <v>399.375</v>
      </c>
      <c r="E34" s="2">
        <v>5053.1000000000004</v>
      </c>
      <c r="F34" s="2">
        <v>0.42499999999999999</v>
      </c>
      <c r="G34" s="2">
        <v>67.4375</v>
      </c>
      <c r="H34" s="2">
        <v>38.375</v>
      </c>
      <c r="I34" s="2">
        <v>61.325000000000003</v>
      </c>
      <c r="J34" s="2">
        <v>476.75</v>
      </c>
      <c r="K34" s="2">
        <v>11.137499999999999</v>
      </c>
      <c r="L34" s="2">
        <v>83.275000000000006</v>
      </c>
      <c r="M34" s="2">
        <v>37.424999999999997</v>
      </c>
      <c r="N34" s="2">
        <v>45.4</v>
      </c>
      <c r="O34" s="2">
        <v>128.721</v>
      </c>
      <c r="P34" s="2">
        <v>436.45</v>
      </c>
    </row>
    <row r="35" spans="1:16">
      <c r="A35">
        <v>1</v>
      </c>
      <c r="B35" s="6" t="s">
        <v>36</v>
      </c>
      <c r="C35" s="2">
        <v>0.93055555555555558</v>
      </c>
      <c r="D35" s="2">
        <v>146.1142857142857</v>
      </c>
      <c r="E35" s="2">
        <v>753.04285714285709</v>
      </c>
      <c r="F35" s="2">
        <v>0.41666666666666669</v>
      </c>
      <c r="G35" s="2">
        <v>60.777777777777779</v>
      </c>
      <c r="H35" s="2">
        <v>34.125</v>
      </c>
      <c r="I35" s="2">
        <v>59.291666666666657</v>
      </c>
      <c r="J35" s="2">
        <v>1688.8611111111111</v>
      </c>
      <c r="K35" s="2">
        <v>5.9861111111111107</v>
      </c>
      <c r="L35" s="2">
        <v>100.6805555555556</v>
      </c>
      <c r="M35" s="2">
        <v>39.013888888888893</v>
      </c>
      <c r="N35" s="2">
        <v>48.402777777777779</v>
      </c>
      <c r="O35" s="2">
        <v>41.138888888888893</v>
      </c>
      <c r="P35" s="2">
        <v>179.45833333333329</v>
      </c>
    </row>
    <row r="36" spans="1:16">
      <c r="A36">
        <v>1</v>
      </c>
      <c r="B36" s="6" t="s">
        <v>89</v>
      </c>
      <c r="C36" s="2">
        <v>0.43835616438356162</v>
      </c>
      <c r="D36" s="2">
        <v>345.119140625</v>
      </c>
      <c r="E36" s="2">
        <v>2785.197580645161</v>
      </c>
      <c r="F36" s="2">
        <v>0.46575342465753422</v>
      </c>
      <c r="G36" s="2">
        <v>44.893835616438359</v>
      </c>
      <c r="H36" s="2">
        <v>29.597602739726032</v>
      </c>
      <c r="I36" s="2">
        <v>45.325342465753423</v>
      </c>
      <c r="J36" s="2">
        <v>208.8184931506849</v>
      </c>
      <c r="K36" s="2">
        <v>4.1789383561643838</v>
      </c>
      <c r="L36" s="2">
        <v>55.480902777777779</v>
      </c>
      <c r="M36" s="2">
        <v>19.844178082191782</v>
      </c>
      <c r="N36" s="2">
        <v>23.099315068493151</v>
      </c>
      <c r="O36" s="2">
        <v>53.621323529411768</v>
      </c>
      <c r="P36" s="2">
        <v>179.1911764705882</v>
      </c>
    </row>
    <row r="37" spans="1:16">
      <c r="A37">
        <v>1</v>
      </c>
      <c r="B37" s="6" t="s">
        <v>38</v>
      </c>
      <c r="C37" s="2">
        <v>0</v>
      </c>
      <c r="D37" s="2">
        <v>480.60215054032261</v>
      </c>
      <c r="E37" s="2">
        <v>12109.577404339339</v>
      </c>
      <c r="F37" s="2">
        <v>0.32</v>
      </c>
      <c r="G37" s="2">
        <v>29.272444444933331</v>
      </c>
      <c r="H37" s="2">
        <v>27.404504504878378</v>
      </c>
      <c r="I37" s="2">
        <v>30.66621621664865</v>
      </c>
      <c r="J37" s="2">
        <v>434.9223744571097</v>
      </c>
      <c r="K37" s="2">
        <v>23.831050228410959</v>
      </c>
      <c r="L37" s="2">
        <v>86.095945946540539</v>
      </c>
      <c r="M37" s="2">
        <v>28.326291079633801</v>
      </c>
      <c r="N37" s="2">
        <v>32.621428571357143</v>
      </c>
      <c r="O37" s="2">
        <v>82.194835682366204</v>
      </c>
      <c r="P37" s="2">
        <v>230.11428571557141</v>
      </c>
    </row>
    <row r="38" spans="1:16">
      <c r="A38">
        <v>1</v>
      </c>
      <c r="B38" s="6" t="s">
        <v>39</v>
      </c>
      <c r="C38" s="2">
        <v>0.93506493506493504</v>
      </c>
      <c r="D38" s="2">
        <v>176.61968680805359</v>
      </c>
      <c r="E38" s="2">
        <v>775.4525386821191</v>
      </c>
      <c r="F38" s="2">
        <v>0.55194805194805197</v>
      </c>
      <c r="G38" s="2">
        <v>39.213852814181813</v>
      </c>
      <c r="H38" s="2">
        <v>20.8387445885974</v>
      </c>
      <c r="I38" s="2">
        <v>40.621212121019482</v>
      </c>
      <c r="J38" s="2">
        <v>644.75108225847407</v>
      </c>
      <c r="K38" s="2">
        <v>3.563852813928571</v>
      </c>
      <c r="L38" s="2">
        <v>52.564935067915577</v>
      </c>
      <c r="M38" s="2">
        <v>26.492424242688308</v>
      </c>
      <c r="N38" s="2">
        <v>36.307359307331168</v>
      </c>
      <c r="O38" s="2">
        <v>52.070175439473687</v>
      </c>
      <c r="P38" s="2">
        <v>218.8629385986842</v>
      </c>
    </row>
    <row r="39" spans="1:16">
      <c r="A39">
        <v>1</v>
      </c>
      <c r="B39" s="6" t="s">
        <v>40</v>
      </c>
      <c r="C39" s="2">
        <v>0.85185185185185186</v>
      </c>
      <c r="D39" s="2">
        <v>734.70833333333337</v>
      </c>
      <c r="E39" s="2">
        <v>7895.1912037037036</v>
      </c>
      <c r="F39" s="2">
        <v>0.34259259259259262</v>
      </c>
      <c r="G39" s="2">
        <v>32.925925925925917</v>
      </c>
      <c r="H39" s="2">
        <v>16.458333333333329</v>
      </c>
      <c r="I39" s="2">
        <v>31.481481481481481</v>
      </c>
      <c r="J39" s="2">
        <v>203.95833333333329</v>
      </c>
      <c r="K39" s="2">
        <v>3.9976851851851851</v>
      </c>
      <c r="L39" s="2">
        <v>29.49537037037037</v>
      </c>
      <c r="M39" s="2">
        <v>28.291666666666671</v>
      </c>
      <c r="N39" s="2">
        <v>36.988425925925917</v>
      </c>
      <c r="O39" s="2">
        <v>78.324074074074076</v>
      </c>
      <c r="P39" s="2">
        <v>362.81481481481478</v>
      </c>
    </row>
    <row r="40" spans="1:16">
      <c r="A40">
        <v>1</v>
      </c>
      <c r="B40" s="6" t="s">
        <v>41</v>
      </c>
      <c r="C40" s="2">
        <v>0.62727272727272732</v>
      </c>
      <c r="D40" s="2">
        <v>311.73717948846149</v>
      </c>
      <c r="E40" s="2">
        <v>3203.0094986616159</v>
      </c>
      <c r="F40" s="2">
        <v>0.3783783783783784</v>
      </c>
      <c r="G40" s="2">
        <v>43.459459459504508</v>
      </c>
      <c r="H40" s="2">
        <v>25.02102102115315</v>
      </c>
      <c r="I40" s="2">
        <v>45.816516516630628</v>
      </c>
      <c r="J40" s="2">
        <v>612.13636362842726</v>
      </c>
      <c r="K40" s="2">
        <v>4.7712121215363634</v>
      </c>
      <c r="L40" s="2">
        <v>62.27627627535135</v>
      </c>
      <c r="M40" s="2">
        <v>34.54317460275238</v>
      </c>
      <c r="N40" s="2">
        <v>40.42888888906667</v>
      </c>
      <c r="O40" s="2">
        <v>46.824074074074069</v>
      </c>
      <c r="P40" s="2">
        <v>162.18380062093459</v>
      </c>
    </row>
    <row r="41" spans="1:16">
      <c r="A41">
        <v>1</v>
      </c>
      <c r="B41" s="6" t="s">
        <v>42</v>
      </c>
      <c r="C41" s="2">
        <v>0.5845588235294118</v>
      </c>
      <c r="D41" s="2">
        <v>1125.3800253030299</v>
      </c>
      <c r="E41" s="2">
        <v>19371.49292257143</v>
      </c>
      <c r="F41" s="2">
        <v>0.31365313653136528</v>
      </c>
      <c r="G41" s="2">
        <v>37.573113553388268</v>
      </c>
      <c r="H41" s="2">
        <v>25.23714637174908</v>
      </c>
      <c r="I41" s="2">
        <v>47.128406863996332</v>
      </c>
      <c r="J41" s="2">
        <v>308.49853482289382</v>
      </c>
      <c r="K41" s="2">
        <v>7.357553059614232</v>
      </c>
      <c r="L41" s="2">
        <v>47.828553923647057</v>
      </c>
      <c r="M41" s="2">
        <v>45.557573529316173</v>
      </c>
      <c r="N41" s="2">
        <v>54.554691356929631</v>
      </c>
      <c r="O41" s="2">
        <v>91.939281296542745</v>
      </c>
      <c r="P41" s="2">
        <v>363.42072409307121</v>
      </c>
    </row>
    <row r="42" spans="1:16">
      <c r="A42">
        <v>1</v>
      </c>
      <c r="B42" s="6" t="s">
        <v>43</v>
      </c>
      <c r="C42" s="2">
        <v>0.36153846153846148</v>
      </c>
      <c r="D42" s="2">
        <v>749.0402203487605</v>
      </c>
      <c r="E42" s="2">
        <v>20762.28515319496</v>
      </c>
      <c r="F42" s="2">
        <v>0.3515625</v>
      </c>
      <c r="G42" s="2">
        <v>16.882051281630769</v>
      </c>
      <c r="H42" s="2">
        <v>10.096640826255809</v>
      </c>
      <c r="I42" s="2">
        <v>18.276235897023081</v>
      </c>
      <c r="J42" s="2">
        <v>71.892307686684617</v>
      </c>
      <c r="K42" s="2">
        <v>2.5582564102615382</v>
      </c>
      <c r="L42" s="2">
        <v>18.034871794730769</v>
      </c>
      <c r="M42" s="2">
        <v>19.477083333046881</v>
      </c>
      <c r="N42" s="2">
        <v>21.793748436874999</v>
      </c>
      <c r="O42" s="2">
        <v>98.176719573253962</v>
      </c>
      <c r="P42" s="2">
        <v>452.28095236007948</v>
      </c>
    </row>
    <row r="43" spans="1:16">
      <c r="A43">
        <v>1</v>
      </c>
      <c r="B43" s="6" t="s">
        <v>44</v>
      </c>
      <c r="C43" s="2">
        <v>0.75641025641025639</v>
      </c>
      <c r="D43" s="2">
        <v>352.62987012987008</v>
      </c>
      <c r="E43" s="2">
        <v>3129.2763157894742</v>
      </c>
      <c r="F43" s="2">
        <v>0.47435897435897428</v>
      </c>
      <c r="G43" s="2">
        <v>26.63461538461538</v>
      </c>
      <c r="H43" s="2">
        <v>15.45673076923077</v>
      </c>
      <c r="I43" s="2">
        <v>28.301282051282051</v>
      </c>
      <c r="J43" s="2">
        <v>242.05128205128199</v>
      </c>
      <c r="K43" s="2">
        <v>1.8961538461538461</v>
      </c>
      <c r="L43" s="2">
        <v>32.269551282051282</v>
      </c>
      <c r="M43" s="2">
        <v>22.02987012987013</v>
      </c>
      <c r="N43" s="2">
        <v>28.160197368421059</v>
      </c>
      <c r="O43" s="2">
        <v>98.625641025641031</v>
      </c>
      <c r="P43" s="2">
        <v>305.61474358974363</v>
      </c>
    </row>
    <row r="44" spans="1:16">
      <c r="A44">
        <v>1</v>
      </c>
      <c r="B44" s="6" t="s">
        <v>90</v>
      </c>
      <c r="C44" s="2">
        <v>0.77647058823529413</v>
      </c>
      <c r="D44" s="2">
        <v>174.28511530987649</v>
      </c>
      <c r="E44" s="2">
        <v>1007.7830189</v>
      </c>
      <c r="F44" s="2">
        <v>0.4</v>
      </c>
      <c r="G44" s="2">
        <v>55.282574916588239</v>
      </c>
      <c r="H44" s="2">
        <v>31.081487235952949</v>
      </c>
      <c r="I44" s="2">
        <v>52.174130484385543</v>
      </c>
      <c r="J44" s="2">
        <v>1668.1500554672939</v>
      </c>
      <c r="K44" s="2">
        <v>4.8741304841204824</v>
      </c>
      <c r="L44" s="2">
        <v>55.249595690928558</v>
      </c>
      <c r="M44" s="2">
        <v>27.53616352311905</v>
      </c>
      <c r="N44" s="2">
        <v>34.741913745940479</v>
      </c>
      <c r="O44" s="2">
        <v>40.17936175185185</v>
      </c>
      <c r="P44" s="2">
        <v>156.3708362498765</v>
      </c>
    </row>
    <row r="45" spans="1:16">
      <c r="A45">
        <v>1</v>
      </c>
      <c r="B45" s="6" t="s">
        <v>46</v>
      </c>
      <c r="C45" s="2">
        <v>0.45945945945945948</v>
      </c>
      <c r="D45" s="2">
        <v>253.38235294117649</v>
      </c>
      <c r="E45" s="2">
        <v>1752.272727272727</v>
      </c>
      <c r="F45" s="2">
        <v>0.3783783783783784</v>
      </c>
      <c r="G45" s="2">
        <v>43.648648648648653</v>
      </c>
      <c r="H45" s="2">
        <v>18.378378378378379</v>
      </c>
      <c r="I45" s="2">
        <v>31.891891891891891</v>
      </c>
      <c r="J45" s="2">
        <v>260</v>
      </c>
      <c r="K45" s="2">
        <v>3.939189189189189</v>
      </c>
      <c r="L45" s="2">
        <v>39.861111111111107</v>
      </c>
      <c r="M45" s="2">
        <v>36.824324324324323</v>
      </c>
      <c r="N45" s="2">
        <v>40.608108108108112</v>
      </c>
      <c r="O45" s="2">
        <v>76.470588235294116</v>
      </c>
      <c r="P45" s="2">
        <v>234.9264705882353</v>
      </c>
    </row>
    <row r="46" spans="1:16">
      <c r="A46">
        <v>1</v>
      </c>
      <c r="B46" s="6" t="s">
        <v>47</v>
      </c>
      <c r="C46" s="2">
        <v>0.92307692307692313</v>
      </c>
      <c r="D46" s="2">
        <v>153.98205131538461</v>
      </c>
      <c r="E46" s="2">
        <v>750.68391552115395</v>
      </c>
      <c r="F46" s="2">
        <v>0.5</v>
      </c>
      <c r="G46" s="2">
        <v>44.050641025576923</v>
      </c>
      <c r="H46" s="2">
        <v>21.072435910269231</v>
      </c>
      <c r="I46" s="2">
        <v>43.428846134692307</v>
      </c>
      <c r="J46" s="2">
        <v>845.32243588519225</v>
      </c>
      <c r="K46" s="2">
        <v>4.342948717961538</v>
      </c>
      <c r="L46" s="2">
        <v>54.655128179230758</v>
      </c>
      <c r="M46" s="2">
        <v>33.277124176470593</v>
      </c>
      <c r="N46" s="2">
        <v>42.01437909843137</v>
      </c>
      <c r="O46" s="2">
        <v>49.130065366078419</v>
      </c>
      <c r="P46" s="2">
        <v>201.43790850392159</v>
      </c>
    </row>
    <row r="47" spans="1:16">
      <c r="A47">
        <v>1</v>
      </c>
      <c r="B47" s="6" t="s">
        <v>48</v>
      </c>
      <c r="C47" s="2">
        <v>0.96113989637305697</v>
      </c>
      <c r="D47" s="2">
        <v>309.77952755905511</v>
      </c>
      <c r="E47" s="2">
        <v>2600.610079575597</v>
      </c>
      <c r="F47" s="2">
        <v>0.40826873385012918</v>
      </c>
      <c r="G47" s="2">
        <v>36.512764857881137</v>
      </c>
      <c r="H47" s="2">
        <v>17.28940568475452</v>
      </c>
      <c r="I47" s="2">
        <v>32.12176165803109</v>
      </c>
      <c r="J47" s="2">
        <v>186.35751295336789</v>
      </c>
      <c r="K47" s="2">
        <v>2.723963730569948</v>
      </c>
      <c r="L47" s="2">
        <v>34.704311688311691</v>
      </c>
      <c r="M47" s="2">
        <v>26.981675392670159</v>
      </c>
      <c r="N47" s="2">
        <v>35.280104712041883</v>
      </c>
      <c r="O47" s="2">
        <v>53.68716577540107</v>
      </c>
      <c r="P47" s="2">
        <v>293.18449197860963</v>
      </c>
    </row>
    <row r="48" spans="1:16">
      <c r="A48">
        <v>1</v>
      </c>
      <c r="B48" s="6" t="s">
        <v>49</v>
      </c>
      <c r="C48" s="2">
        <v>0.73750000000000004</v>
      </c>
      <c r="D48" s="2">
        <v>352.22500000000002</v>
      </c>
      <c r="E48" s="2">
        <v>3757.1146705275</v>
      </c>
      <c r="F48" s="2">
        <v>0.28749999999999998</v>
      </c>
      <c r="G48" s="2">
        <v>38.1875</v>
      </c>
      <c r="H48" s="2">
        <v>21.787500000000001</v>
      </c>
      <c r="I48" s="2">
        <v>38.787500000000001</v>
      </c>
      <c r="J48" s="2">
        <v>138.40740740740739</v>
      </c>
      <c r="K48" s="2">
        <v>4.3887499999999999</v>
      </c>
      <c r="L48" s="2">
        <v>51.0625</v>
      </c>
      <c r="M48" s="2">
        <v>21.536249999999999</v>
      </c>
      <c r="N48" s="2">
        <v>27.995000000000001</v>
      </c>
      <c r="O48" s="2">
        <v>53.291358024691363</v>
      </c>
      <c r="P48" s="2">
        <v>293.95061728395058</v>
      </c>
    </row>
    <row r="49" spans="1:16">
      <c r="A49">
        <v>1</v>
      </c>
      <c r="B49" s="6" t="s">
        <v>50</v>
      </c>
      <c r="C49" s="2">
        <v>0.16666666666666671</v>
      </c>
      <c r="D49" s="2">
        <v>1420.4513888756251</v>
      </c>
      <c r="E49" s="2">
        <v>11201.791666810421</v>
      </c>
      <c r="F49" s="2">
        <v>0.41666666666666669</v>
      </c>
      <c r="G49" s="2">
        <v>59.965277777854169</v>
      </c>
      <c r="H49" s="2">
        <v>67.173611111812491</v>
      </c>
      <c r="I49" s="2">
        <v>68.356249999854171</v>
      </c>
      <c r="J49" s="2">
        <v>3601.215277758271</v>
      </c>
      <c r="K49" s="2">
        <v>25.50694444458334</v>
      </c>
      <c r="L49" s="2">
        <v>205.76388888695831</v>
      </c>
      <c r="M49" s="2">
        <v>39.423611110916667</v>
      </c>
      <c r="N49" s="2">
        <v>46.770833333749998</v>
      </c>
      <c r="O49" s="2">
        <v>22.428472222062499</v>
      </c>
      <c r="P49" s="2">
        <v>91.256944445708328</v>
      </c>
    </row>
    <row r="50" spans="1:16">
      <c r="A50">
        <v>1</v>
      </c>
      <c r="B50" s="6" t="s">
        <v>51</v>
      </c>
      <c r="C50" s="2">
        <v>0.58333333333333337</v>
      </c>
      <c r="D50" s="2">
        <v>145.39393939393941</v>
      </c>
      <c r="E50" s="2">
        <v>1558.0272727272729</v>
      </c>
      <c r="F50" s="2">
        <v>0.1388888888888889</v>
      </c>
      <c r="G50" s="2">
        <v>52.527777777777779</v>
      </c>
      <c r="H50" s="2">
        <v>26.914285714285711</v>
      </c>
      <c r="I50" s="2">
        <v>48.333333333333343</v>
      </c>
      <c r="J50" s="2">
        <v>1330</v>
      </c>
      <c r="K50" s="2">
        <v>4.4749999999999996</v>
      </c>
      <c r="L50" s="2">
        <v>82.138888888888886</v>
      </c>
      <c r="M50" s="2">
        <v>24.522222222222219</v>
      </c>
      <c r="N50" s="2">
        <v>33.361111111111107</v>
      </c>
      <c r="O50" s="2">
        <v>106.2777777777778</v>
      </c>
      <c r="P50" s="2">
        <v>574.75</v>
      </c>
    </row>
    <row r="51" spans="1:16">
      <c r="A51">
        <v>1</v>
      </c>
      <c r="B51" s="6" t="s">
        <v>52</v>
      </c>
      <c r="C51" s="2">
        <v>0.67289719626168221</v>
      </c>
      <c r="D51" s="2">
        <v>302.83490566037727</v>
      </c>
      <c r="E51" s="2">
        <v>3756.514285714286</v>
      </c>
      <c r="F51" s="2">
        <v>0.34579439252336452</v>
      </c>
      <c r="G51" s="2">
        <v>46.887850467289717</v>
      </c>
      <c r="H51" s="2">
        <v>27.892523364485982</v>
      </c>
      <c r="I51" s="2">
        <v>52.467289719626173</v>
      </c>
      <c r="J51" s="2">
        <v>185</v>
      </c>
      <c r="K51" s="2">
        <v>7.037383177570093</v>
      </c>
      <c r="L51" s="2">
        <v>80.112149532710276</v>
      </c>
      <c r="M51" s="2">
        <v>35.476190476190467</v>
      </c>
      <c r="N51" s="2">
        <v>45</v>
      </c>
      <c r="O51" s="2">
        <v>45.966346153846153</v>
      </c>
      <c r="P51" s="2">
        <v>175.74519230769229</v>
      </c>
    </row>
    <row r="52" spans="1:16">
      <c r="A52">
        <v>1</v>
      </c>
      <c r="B52" s="6" t="s">
        <v>53</v>
      </c>
      <c r="C52" s="2">
        <v>0.76</v>
      </c>
      <c r="D52" s="2">
        <v>204.64285714285711</v>
      </c>
      <c r="E52" s="2">
        <v>1814.8936170212769</v>
      </c>
      <c r="F52" s="2">
        <v>0.36</v>
      </c>
      <c r="G52" s="2">
        <v>38.384500000000003</v>
      </c>
      <c r="H52" s="2">
        <v>20.259499999999999</v>
      </c>
      <c r="I52" s="2">
        <v>37.6845</v>
      </c>
      <c r="J52" s="2">
        <v>591.04999999999995</v>
      </c>
      <c r="K52" s="2">
        <v>5.0794999999999986</v>
      </c>
      <c r="L52" s="2">
        <v>50.149500000000003</v>
      </c>
      <c r="M52" s="2">
        <v>26.5045</v>
      </c>
      <c r="N52" s="2">
        <v>31.749500000000001</v>
      </c>
      <c r="O52" s="2">
        <v>38.061734693877547</v>
      </c>
      <c r="P52" s="2">
        <v>138.87806122448981</v>
      </c>
    </row>
    <row r="53" spans="1:16">
      <c r="A53">
        <v>1</v>
      </c>
      <c r="B53" s="6" t="s">
        <v>54</v>
      </c>
      <c r="C53" s="2">
        <v>0.72413793103448276</v>
      </c>
      <c r="D53" s="2">
        <v>292.15789473684208</v>
      </c>
      <c r="E53" s="2">
        <v>2943.8771929824561</v>
      </c>
      <c r="F53" s="2">
        <v>0.59649122807017541</v>
      </c>
      <c r="G53" s="2">
        <v>30.586206896551719</v>
      </c>
      <c r="H53" s="2">
        <v>17.06034482758621</v>
      </c>
      <c r="I53" s="2">
        <v>32.793103448275858</v>
      </c>
      <c r="J53" s="2">
        <v>254.12263157894739</v>
      </c>
      <c r="K53" s="2">
        <v>3.3791379310344829</v>
      </c>
      <c r="L53" s="2">
        <v>48.53448275862069</v>
      </c>
      <c r="M53" s="2">
        <v>26.999827586206901</v>
      </c>
      <c r="N53" s="2">
        <v>34.741206896551716</v>
      </c>
      <c r="O53" s="2">
        <v>51.017543859649123</v>
      </c>
      <c r="P53" s="2">
        <v>226.07035087719299</v>
      </c>
    </row>
    <row r="54" spans="1:16">
      <c r="A54">
        <v>1</v>
      </c>
      <c r="B54" s="6" t="s">
        <v>55</v>
      </c>
      <c r="C54" s="2">
        <v>0.52884615384615385</v>
      </c>
      <c r="D54" s="2">
        <v>415.4041666666667</v>
      </c>
      <c r="E54" s="2">
        <v>8556.7872340425529</v>
      </c>
      <c r="F54" s="2">
        <v>0.2476190476190476</v>
      </c>
      <c r="G54" s="2">
        <v>39.81</v>
      </c>
      <c r="H54" s="2">
        <v>23.2745</v>
      </c>
      <c r="I54" s="2">
        <v>37.549504950495049</v>
      </c>
      <c r="J54" s="2">
        <v>1297.9742268041241</v>
      </c>
      <c r="K54" s="2">
        <v>4.7227722772277234</v>
      </c>
      <c r="L54" s="2">
        <v>65.430693069306926</v>
      </c>
      <c r="M54" s="2">
        <v>29.609375</v>
      </c>
      <c r="N54" s="2">
        <v>37.005102040816332</v>
      </c>
      <c r="O54" s="2">
        <v>58.515151515151523</v>
      </c>
      <c r="P54" s="2">
        <v>225.171875</v>
      </c>
    </row>
    <row r="55" spans="1:16" ht="15.6">
      <c r="A55">
        <v>0</v>
      </c>
      <c r="B55" t="s">
        <v>102</v>
      </c>
      <c r="C55" s="7">
        <v>0</v>
      </c>
      <c r="D55" s="8">
        <v>110</v>
      </c>
      <c r="E55" s="9">
        <v>242.22222222222223</v>
      </c>
      <c r="F55" s="10">
        <v>1</v>
      </c>
      <c r="G55" s="17">
        <v>78.055555555555557</v>
      </c>
      <c r="H55" s="11">
        <v>43.666666666666664</v>
      </c>
      <c r="I55" s="12">
        <v>71.222222222222229</v>
      </c>
      <c r="J55" s="13">
        <v>3952.2222222222222</v>
      </c>
      <c r="K55" s="14">
        <v>5</v>
      </c>
      <c r="L55" s="15">
        <v>195.22222222222223</v>
      </c>
      <c r="M55" s="9">
        <v>46.666666666666664</v>
      </c>
      <c r="N55" s="16">
        <v>56.444444444444443</v>
      </c>
      <c r="O55" s="4">
        <v>49.666666666666664</v>
      </c>
      <c r="P55" s="5">
        <v>195.55555555555554</v>
      </c>
    </row>
    <row r="56" spans="1:16" ht="15.6">
      <c r="A56">
        <v>0</v>
      </c>
      <c r="B56" t="s">
        <v>103</v>
      </c>
      <c r="C56" s="7">
        <v>0</v>
      </c>
      <c r="D56" s="8">
        <v>109.33333333333333</v>
      </c>
      <c r="E56" s="9">
        <v>233.33333333333334</v>
      </c>
      <c r="F56" s="10">
        <v>1</v>
      </c>
      <c r="G56" s="17">
        <v>73.277777777777771</v>
      </c>
      <c r="H56" s="11">
        <v>44.777777777777779</v>
      </c>
      <c r="I56" s="12">
        <v>69.277777777777771</v>
      </c>
      <c r="J56" s="13">
        <v>4067.7777777777778</v>
      </c>
      <c r="K56" s="14">
        <v>5.0444444444444443</v>
      </c>
      <c r="L56" s="15">
        <v>191.22222222222223</v>
      </c>
      <c r="M56" s="9">
        <v>44.233333333333334</v>
      </c>
      <c r="N56" s="16">
        <v>55.166666666666664</v>
      </c>
      <c r="O56" s="4">
        <v>47.055555555555557</v>
      </c>
      <c r="P56" s="5">
        <v>167.11111111111111</v>
      </c>
    </row>
    <row r="57" spans="1:16" ht="15.6">
      <c r="A57">
        <v>0</v>
      </c>
      <c r="B57" t="s">
        <v>104</v>
      </c>
      <c r="C57" s="7">
        <v>0</v>
      </c>
      <c r="D57" s="8">
        <v>108.94444444444444</v>
      </c>
      <c r="E57" s="9">
        <v>221.5</v>
      </c>
      <c r="F57" s="10">
        <v>1</v>
      </c>
      <c r="G57" s="17">
        <v>69.599999999999994</v>
      </c>
      <c r="H57" s="11">
        <v>46.166666666666664</v>
      </c>
      <c r="I57" s="12">
        <v>67.088888888888889</v>
      </c>
      <c r="J57" s="13">
        <v>4368.8888888888887</v>
      </c>
      <c r="K57" s="14">
        <v>5.0444444444444443</v>
      </c>
      <c r="L57" s="15">
        <v>189.55555555555554</v>
      </c>
      <c r="M57" s="9">
        <v>40</v>
      </c>
      <c r="N57" s="16">
        <v>50.19736842105263</v>
      </c>
      <c r="O57" s="4">
        <v>46.055555555555557</v>
      </c>
      <c r="P57" s="5">
        <v>146.55555555555554</v>
      </c>
    </row>
    <row r="58" spans="1:16" ht="15.6">
      <c r="A58">
        <v>0</v>
      </c>
      <c r="B58" t="s">
        <v>105</v>
      </c>
      <c r="C58" s="7">
        <v>0</v>
      </c>
      <c r="D58" s="18">
        <v>110</v>
      </c>
      <c r="E58" s="9">
        <v>250</v>
      </c>
      <c r="F58" s="10">
        <v>1</v>
      </c>
      <c r="G58" s="19">
        <v>85</v>
      </c>
      <c r="H58" s="11">
        <v>40</v>
      </c>
      <c r="I58" s="12">
        <v>75</v>
      </c>
      <c r="J58" s="20">
        <v>4000</v>
      </c>
      <c r="K58" s="14">
        <v>5</v>
      </c>
      <c r="L58" s="15">
        <v>200</v>
      </c>
      <c r="M58" s="9">
        <v>50</v>
      </c>
      <c r="N58" s="16">
        <v>60</v>
      </c>
      <c r="O58" s="4">
        <v>50</v>
      </c>
      <c r="P58" s="5">
        <v>200</v>
      </c>
    </row>
    <row r="59" spans="1:16" ht="15.6">
      <c r="A59">
        <v>0</v>
      </c>
      <c r="B59" t="s">
        <v>106</v>
      </c>
      <c r="C59" s="7">
        <v>0</v>
      </c>
      <c r="D59" s="8">
        <v>108.6</v>
      </c>
      <c r="E59" s="9">
        <v>215.38888888888889</v>
      </c>
      <c r="F59" s="10">
        <v>1</v>
      </c>
      <c r="G59" s="21">
        <v>70.222222222222229</v>
      </c>
      <c r="H59" s="22">
        <v>44.388888888888886</v>
      </c>
      <c r="I59" s="12">
        <v>69.055555555555557</v>
      </c>
      <c r="J59" s="23">
        <v>4298.8888888888887</v>
      </c>
      <c r="K59" s="14">
        <v>5.1222222222222218</v>
      </c>
      <c r="L59" s="15">
        <v>191.16666666666666</v>
      </c>
      <c r="M59" s="9">
        <v>41.777777777777779</v>
      </c>
      <c r="N59" s="16">
        <v>53.388888888888886</v>
      </c>
      <c r="O59" s="4">
        <v>45.888888888888886</v>
      </c>
      <c r="P59" s="5">
        <v>132.66666666666666</v>
      </c>
    </row>
    <row r="60" spans="1:16" ht="15.6">
      <c r="A60">
        <v>0</v>
      </c>
      <c r="B60" t="s">
        <v>77</v>
      </c>
      <c r="C60" s="7">
        <v>0</v>
      </c>
      <c r="D60" s="24">
        <v>109.95555555555555</v>
      </c>
      <c r="E60" s="9">
        <v>246.06666666666666</v>
      </c>
      <c r="F60" s="10">
        <v>1</v>
      </c>
      <c r="G60" s="17">
        <v>87.4</v>
      </c>
      <c r="H60" s="11">
        <v>54.244444444444447</v>
      </c>
      <c r="I60" s="12">
        <v>84.433333333333337</v>
      </c>
      <c r="J60" s="13">
        <v>5920</v>
      </c>
      <c r="K60" s="14">
        <v>8.1777777777777771</v>
      </c>
      <c r="L60" s="15">
        <v>0</v>
      </c>
      <c r="M60" s="9">
        <v>52.966666666666669</v>
      </c>
      <c r="N60" s="16">
        <v>68.333333333333329</v>
      </c>
      <c r="O60" s="4">
        <v>35.333333333333336</v>
      </c>
      <c r="P60" s="5">
        <v>148.22222222222223</v>
      </c>
    </row>
    <row r="61" spans="1:16" ht="15.6">
      <c r="A61">
        <v>0</v>
      </c>
      <c r="B61" t="s">
        <v>78</v>
      </c>
      <c r="C61" s="7">
        <v>1</v>
      </c>
      <c r="D61" s="8">
        <v>120</v>
      </c>
      <c r="E61" s="9">
        <v>200</v>
      </c>
      <c r="F61" s="10">
        <v>1</v>
      </c>
      <c r="G61" s="17">
        <v>50</v>
      </c>
      <c r="H61" s="11">
        <v>60</v>
      </c>
      <c r="I61" s="12">
        <v>70</v>
      </c>
      <c r="J61" s="13">
        <v>5000</v>
      </c>
      <c r="K61" s="14">
        <v>10</v>
      </c>
      <c r="L61" s="15">
        <v>200</v>
      </c>
      <c r="M61" s="9">
        <v>50</v>
      </c>
      <c r="N61" s="16">
        <v>60</v>
      </c>
      <c r="O61" s="4">
        <v>50</v>
      </c>
      <c r="P61" s="5">
        <v>200</v>
      </c>
    </row>
    <row r="62" spans="1:16" ht="15.6">
      <c r="A62">
        <v>0</v>
      </c>
      <c r="B62" t="s">
        <v>80</v>
      </c>
      <c r="C62" s="7">
        <v>1</v>
      </c>
      <c r="D62" s="8">
        <v>110</v>
      </c>
      <c r="E62" s="25">
        <v>200</v>
      </c>
      <c r="F62" s="10">
        <v>1</v>
      </c>
      <c r="G62" s="17">
        <v>90</v>
      </c>
      <c r="H62" s="11">
        <v>60</v>
      </c>
      <c r="I62" s="12">
        <v>90</v>
      </c>
      <c r="J62" s="13">
        <v>8253.3333333333339</v>
      </c>
      <c r="K62" s="14">
        <v>9.5666666666666664</v>
      </c>
      <c r="L62" s="15">
        <v>148.11111111111111</v>
      </c>
      <c r="M62" s="9">
        <v>48</v>
      </c>
      <c r="N62" s="16">
        <v>60</v>
      </c>
      <c r="O62" s="4">
        <v>25</v>
      </c>
      <c r="P62" s="5">
        <v>100</v>
      </c>
    </row>
    <row r="63" spans="1:16" ht="15.6">
      <c r="A63">
        <v>0</v>
      </c>
      <c r="B63" t="s">
        <v>79</v>
      </c>
      <c r="C63" s="7">
        <v>1</v>
      </c>
      <c r="D63" s="8">
        <v>109.91111111111111</v>
      </c>
      <c r="E63" s="9">
        <v>199.32222222222222</v>
      </c>
      <c r="F63" s="10">
        <v>1</v>
      </c>
      <c r="G63" s="19">
        <v>90.711111111111109</v>
      </c>
      <c r="H63" s="11">
        <v>60</v>
      </c>
      <c r="I63" s="12">
        <v>90</v>
      </c>
      <c r="J63" s="20">
        <v>8013.333333333333</v>
      </c>
      <c r="K63" s="14">
        <v>9.5666666666666664</v>
      </c>
      <c r="L63" s="15">
        <v>135.22222222222223</v>
      </c>
      <c r="M63" s="9">
        <v>48</v>
      </c>
      <c r="N63" s="16">
        <v>60</v>
      </c>
      <c r="O63" s="4">
        <v>35.544444444444444</v>
      </c>
      <c r="P63" s="5">
        <v>119.47777777777777</v>
      </c>
    </row>
    <row r="64" spans="1:16" ht="15.6">
      <c r="A64">
        <v>0</v>
      </c>
      <c r="B64" t="s">
        <v>81</v>
      </c>
      <c r="C64" s="7">
        <v>1</v>
      </c>
      <c r="D64" s="8">
        <v>110</v>
      </c>
      <c r="E64" s="9">
        <v>200</v>
      </c>
      <c r="F64" s="10">
        <v>1</v>
      </c>
      <c r="G64" s="21">
        <v>90</v>
      </c>
      <c r="H64" s="22">
        <v>60</v>
      </c>
      <c r="I64" s="12">
        <v>90</v>
      </c>
      <c r="J64" s="23">
        <v>8253.3333333333339</v>
      </c>
      <c r="K64" s="14">
        <v>9.4222222222222225</v>
      </c>
      <c r="L64" s="15">
        <v>148.11111111111111</v>
      </c>
      <c r="M64" s="9">
        <v>48</v>
      </c>
      <c r="N64" s="16">
        <v>60</v>
      </c>
      <c r="O64" s="4">
        <v>25</v>
      </c>
      <c r="P64" s="5">
        <v>100</v>
      </c>
    </row>
    <row r="65" spans="1:16" ht="15.6">
      <c r="A65">
        <v>0</v>
      </c>
      <c r="B65" t="s">
        <v>82</v>
      </c>
      <c r="C65" s="7">
        <v>1</v>
      </c>
      <c r="D65" s="8">
        <v>110</v>
      </c>
      <c r="E65" s="9">
        <v>200</v>
      </c>
      <c r="F65" s="10">
        <v>1</v>
      </c>
      <c r="G65" s="21">
        <v>90</v>
      </c>
      <c r="H65" s="22">
        <v>60</v>
      </c>
      <c r="I65" s="12">
        <v>90</v>
      </c>
      <c r="J65" s="23">
        <v>8253.3333333333339</v>
      </c>
      <c r="K65" s="14">
        <v>9.5666666666666664</v>
      </c>
      <c r="L65" s="15">
        <v>148.11111111111111</v>
      </c>
      <c r="M65" s="9">
        <v>48</v>
      </c>
      <c r="N65" s="16">
        <v>60</v>
      </c>
      <c r="O65" s="4">
        <v>25</v>
      </c>
      <c r="P65" s="5">
        <v>100</v>
      </c>
    </row>
    <row r="66" spans="1:16" ht="15.6">
      <c r="A66">
        <v>0</v>
      </c>
      <c r="B66" t="s">
        <v>101</v>
      </c>
      <c r="C66" s="7">
        <v>0.71111111111111114</v>
      </c>
      <c r="D66" s="8">
        <v>115</v>
      </c>
      <c r="E66" s="9">
        <v>222.33333333333334</v>
      </c>
      <c r="F66" s="26">
        <v>0.71111111111111114</v>
      </c>
      <c r="G66" s="21">
        <v>85.7</v>
      </c>
      <c r="H66" s="22">
        <v>53.055555555555557</v>
      </c>
      <c r="I66" s="27">
        <v>85.277777777777771</v>
      </c>
      <c r="J66" s="23">
        <v>5777.7777777777774</v>
      </c>
      <c r="K66" s="14">
        <v>6.4444444444444446</v>
      </c>
      <c r="L66" s="15">
        <v>156.44444444444446</v>
      </c>
      <c r="M66" s="9">
        <v>52.177777777777777</v>
      </c>
      <c r="N66" s="16">
        <v>66.388888888888886</v>
      </c>
      <c r="O66" s="4">
        <v>40.166666666666664</v>
      </c>
      <c r="P66" s="5">
        <v>150.77777777777777</v>
      </c>
    </row>
    <row r="67" spans="1:16" ht="15.6">
      <c r="A67">
        <v>0</v>
      </c>
      <c r="B67" t="s">
        <v>97</v>
      </c>
      <c r="C67" s="7">
        <v>0.31111111111111112</v>
      </c>
      <c r="D67" s="8">
        <v>118.11111111111111</v>
      </c>
      <c r="E67" s="9">
        <v>243.44444444444446</v>
      </c>
      <c r="F67" s="10">
        <v>1</v>
      </c>
      <c r="G67" s="21">
        <v>88.111111111111114</v>
      </c>
      <c r="H67" s="22">
        <v>51.333333333333336</v>
      </c>
      <c r="I67" s="12">
        <v>84.888888888888886</v>
      </c>
      <c r="J67" s="23">
        <v>5333.333333333333</v>
      </c>
      <c r="K67" s="14">
        <v>4.0777777777777775</v>
      </c>
      <c r="L67" s="15">
        <v>186</v>
      </c>
      <c r="M67" s="9">
        <v>50.722222222222221</v>
      </c>
      <c r="N67" s="16">
        <v>68.277777777777771</v>
      </c>
      <c r="O67" s="4">
        <v>44.055555555555557</v>
      </c>
      <c r="P67" s="5">
        <v>215.55555555555554</v>
      </c>
    </row>
    <row r="68" spans="1:16" ht="15.6">
      <c r="A68">
        <v>0</v>
      </c>
      <c r="B68" t="s">
        <v>98</v>
      </c>
      <c r="C68" s="7">
        <v>0</v>
      </c>
      <c r="D68" s="8">
        <v>117.55555555555556</v>
      </c>
      <c r="E68" s="9">
        <v>187.55555555555554</v>
      </c>
      <c r="F68" s="10">
        <v>1</v>
      </c>
      <c r="G68" s="21">
        <v>85.388888888888886</v>
      </c>
      <c r="H68" s="22">
        <v>54.444444444444443</v>
      </c>
      <c r="I68" s="12">
        <v>85.044444444444451</v>
      </c>
      <c r="J68" s="23">
        <v>5588.8888888888887</v>
      </c>
      <c r="K68" s="14">
        <v>7.4111111111111114</v>
      </c>
      <c r="L68" s="15">
        <v>195.55555555555554</v>
      </c>
      <c r="M68" s="9">
        <v>50.944444444444443</v>
      </c>
      <c r="N68" s="16">
        <v>66</v>
      </c>
      <c r="O68" s="4">
        <v>33.055555555555557</v>
      </c>
      <c r="P68" s="5">
        <v>139.33333333333334</v>
      </c>
    </row>
    <row r="69" spans="1:16" ht="15.6">
      <c r="A69">
        <v>0</v>
      </c>
      <c r="B69" t="s">
        <v>99</v>
      </c>
      <c r="C69" s="7">
        <v>0.77777777777777779</v>
      </c>
      <c r="D69" s="8">
        <v>112.33333333333333</v>
      </c>
      <c r="E69" s="9">
        <v>240.88888888888889</v>
      </c>
      <c r="F69" s="10">
        <v>1</v>
      </c>
      <c r="G69" s="21">
        <v>82.833333333333329</v>
      </c>
      <c r="H69" s="22">
        <v>51.722222222222221</v>
      </c>
      <c r="I69" s="12">
        <v>85.211111111111109</v>
      </c>
      <c r="J69" s="23">
        <v>5566.666666666667</v>
      </c>
      <c r="K69" s="14">
        <v>7.4888888888888889</v>
      </c>
      <c r="L69" s="15">
        <v>198.44444444444446</v>
      </c>
      <c r="M69" s="9">
        <v>50.911111111111111</v>
      </c>
      <c r="N69" s="16">
        <v>65.5</v>
      </c>
      <c r="O69" s="4">
        <v>32.611111111111114</v>
      </c>
      <c r="P69" s="5">
        <v>141.33333333333334</v>
      </c>
    </row>
    <row r="70" spans="1:16" ht="15.6">
      <c r="A70">
        <v>0</v>
      </c>
      <c r="B70" t="s">
        <v>100</v>
      </c>
      <c r="C70" s="7">
        <v>0.77777777777777779</v>
      </c>
      <c r="D70" s="8">
        <v>115.77777777777777</v>
      </c>
      <c r="E70" s="9">
        <v>240.88888888888889</v>
      </c>
      <c r="F70" s="10">
        <v>1</v>
      </c>
      <c r="G70" s="17">
        <v>89.777777777777771</v>
      </c>
      <c r="H70" s="22">
        <v>51.722222222222221</v>
      </c>
      <c r="I70" s="12">
        <v>85.211111111111109</v>
      </c>
      <c r="J70" s="23">
        <v>6666.666666666667</v>
      </c>
      <c r="K70" s="14">
        <v>7.8</v>
      </c>
      <c r="L70" s="15">
        <v>204.22222222222223</v>
      </c>
      <c r="M70" s="9">
        <v>50.68888888888889</v>
      </c>
      <c r="N70" s="16">
        <v>65.944444444444443</v>
      </c>
      <c r="O70" s="4">
        <v>32.611111111111114</v>
      </c>
      <c r="P70" s="5">
        <v>153.66666666666666</v>
      </c>
    </row>
    <row r="71" spans="1:16" ht="15.6">
      <c r="A71">
        <v>0</v>
      </c>
      <c r="B71" t="s">
        <v>83</v>
      </c>
      <c r="C71" s="7">
        <v>1</v>
      </c>
      <c r="D71" s="8">
        <v>120</v>
      </c>
      <c r="E71" s="9">
        <v>200</v>
      </c>
      <c r="F71" s="10">
        <v>1</v>
      </c>
      <c r="G71" s="19">
        <v>50</v>
      </c>
      <c r="H71" s="11">
        <v>60</v>
      </c>
      <c r="I71" s="12">
        <v>70</v>
      </c>
      <c r="J71" s="13">
        <v>5000</v>
      </c>
      <c r="K71" s="14">
        <v>10</v>
      </c>
      <c r="L71" s="15">
        <v>200</v>
      </c>
      <c r="M71" s="9">
        <v>50</v>
      </c>
      <c r="N71" s="16">
        <v>60</v>
      </c>
      <c r="O71" s="4">
        <v>50</v>
      </c>
      <c r="P71" s="5">
        <v>200</v>
      </c>
    </row>
    <row r="72" spans="1:16" ht="15.6">
      <c r="A72">
        <v>0</v>
      </c>
      <c r="B72" t="s">
        <v>84</v>
      </c>
      <c r="C72" s="7">
        <v>1</v>
      </c>
      <c r="D72" s="8">
        <v>120</v>
      </c>
      <c r="E72" s="9">
        <v>200</v>
      </c>
      <c r="F72" s="10">
        <v>1</v>
      </c>
      <c r="G72" s="17">
        <v>50</v>
      </c>
      <c r="H72" s="11">
        <v>60</v>
      </c>
      <c r="I72" s="12">
        <v>70</v>
      </c>
      <c r="J72" s="13">
        <v>5000</v>
      </c>
      <c r="K72" s="14">
        <v>10</v>
      </c>
      <c r="L72" s="15">
        <v>200</v>
      </c>
      <c r="M72" s="9">
        <v>50</v>
      </c>
      <c r="N72" s="16">
        <v>60</v>
      </c>
      <c r="O72" s="4">
        <v>50</v>
      </c>
      <c r="P72" s="5">
        <v>200</v>
      </c>
    </row>
    <row r="73" spans="1:16" ht="15.6">
      <c r="A73">
        <v>0</v>
      </c>
      <c r="B73" t="s">
        <v>85</v>
      </c>
      <c r="C73" s="7">
        <v>0.5977011494252874</v>
      </c>
      <c r="D73" s="8">
        <v>123.44827586206897</v>
      </c>
      <c r="E73" s="9">
        <v>244.2528735632184</v>
      </c>
      <c r="F73" s="10">
        <v>1</v>
      </c>
      <c r="G73" s="19">
        <v>54.942528735632187</v>
      </c>
      <c r="H73" s="11">
        <v>56.781609195402297</v>
      </c>
      <c r="I73" s="12">
        <v>78.275862068965523</v>
      </c>
      <c r="J73" s="13">
        <v>5000</v>
      </c>
      <c r="K73" s="14">
        <v>12.471264367816092</v>
      </c>
      <c r="L73" s="15">
        <v>227.34482758620689</v>
      </c>
      <c r="M73" s="9">
        <v>43.701149425287355</v>
      </c>
      <c r="N73" s="16">
        <v>60.977011494252871</v>
      </c>
      <c r="O73" s="4">
        <v>47.816091954022987</v>
      </c>
      <c r="P73" s="5">
        <v>200</v>
      </c>
    </row>
    <row r="74" spans="1:16" ht="15.6">
      <c r="A74">
        <v>0</v>
      </c>
      <c r="B74" t="s">
        <v>86</v>
      </c>
      <c r="C74" s="7">
        <v>1</v>
      </c>
      <c r="D74" s="8">
        <v>120</v>
      </c>
      <c r="E74" s="9">
        <v>200</v>
      </c>
      <c r="F74" s="10">
        <v>1</v>
      </c>
      <c r="G74" s="21">
        <v>50</v>
      </c>
      <c r="H74" s="11">
        <v>60</v>
      </c>
      <c r="I74" s="12">
        <v>70</v>
      </c>
      <c r="J74" s="13">
        <v>5000</v>
      </c>
      <c r="K74" s="14">
        <v>10</v>
      </c>
      <c r="L74" s="15">
        <v>200</v>
      </c>
      <c r="M74" s="9">
        <v>50</v>
      </c>
      <c r="N74" s="16">
        <v>60</v>
      </c>
      <c r="O74" s="4">
        <v>50</v>
      </c>
      <c r="P74" s="5">
        <v>200</v>
      </c>
    </row>
    <row r="75" spans="1:16" ht="15.6">
      <c r="A75">
        <v>0</v>
      </c>
      <c r="B75" t="s">
        <v>87</v>
      </c>
      <c r="C75" s="7">
        <v>1</v>
      </c>
      <c r="D75" s="24">
        <v>120</v>
      </c>
      <c r="E75" s="9">
        <v>200</v>
      </c>
      <c r="F75" s="10">
        <v>1</v>
      </c>
      <c r="G75" s="17">
        <v>50</v>
      </c>
      <c r="H75" s="11">
        <v>60</v>
      </c>
      <c r="I75" s="12">
        <v>70</v>
      </c>
      <c r="J75" s="13">
        <v>5000</v>
      </c>
      <c r="K75" s="14">
        <v>10</v>
      </c>
      <c r="L75" s="15">
        <v>200</v>
      </c>
      <c r="M75" s="9">
        <v>50</v>
      </c>
      <c r="N75" s="16">
        <v>60</v>
      </c>
      <c r="O75" s="4">
        <v>50</v>
      </c>
      <c r="P75" s="5">
        <v>200</v>
      </c>
    </row>
  </sheetData>
  <phoneticPr fontId="25" type="noConversion"/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952F-70F0-4DEE-9EEB-60E689823759}">
  <dimension ref="A1:D77"/>
  <sheetViews>
    <sheetView workbookViewId="0">
      <pane xSplit="2" ySplit="1" topLeftCell="C52" activePane="bottomRight" state="frozen"/>
      <selection pane="topRight" activeCell="C1" sqref="C1"/>
      <selection pane="bottomLeft" activeCell="A2" sqref="A2"/>
      <selection pane="bottomRight" activeCell="D58" sqref="D58"/>
    </sheetView>
  </sheetViews>
  <sheetFormatPr defaultColWidth="8.88671875" defaultRowHeight="14.4"/>
  <cols>
    <col min="1" max="1" width="2.33203125" bestFit="1" customWidth="1"/>
    <col min="2" max="2" width="17.88671875" bestFit="1" customWidth="1"/>
    <col min="3" max="4" width="11.88671875" bestFit="1" customWidth="1"/>
  </cols>
  <sheetData>
    <row r="1" spans="1:4">
      <c r="A1" t="s">
        <v>75</v>
      </c>
      <c r="B1" s="6" t="s">
        <v>2</v>
      </c>
      <c r="C1" s="1" t="s">
        <v>0</v>
      </c>
      <c r="D1" s="1" t="s">
        <v>1</v>
      </c>
    </row>
    <row r="2" spans="1:4">
      <c r="A2">
        <v>1</v>
      </c>
      <c r="B2" s="6" t="s">
        <v>3</v>
      </c>
      <c r="C2" s="3">
        <v>0.434266071275</v>
      </c>
      <c r="D2" s="3">
        <v>0.83412327865000013</v>
      </c>
    </row>
    <row r="3" spans="1:4">
      <c r="A3">
        <v>1</v>
      </c>
      <c r="B3" s="6" t="s">
        <v>4</v>
      </c>
      <c r="C3" s="3">
        <v>0.5647421874047619</v>
      </c>
      <c r="D3" s="3">
        <v>0.83412729357142845</v>
      </c>
    </row>
    <row r="4" spans="1:4">
      <c r="A4">
        <v>1</v>
      </c>
      <c r="B4" s="6" t="s">
        <v>5</v>
      </c>
      <c r="C4" s="3">
        <v>0.90160385907207197</v>
      </c>
      <c r="D4" s="3">
        <v>0.83179373309008997</v>
      </c>
    </row>
    <row r="5" spans="1:4">
      <c r="A5">
        <v>1</v>
      </c>
      <c r="B5" s="6" t="s">
        <v>6</v>
      </c>
      <c r="C5" s="3">
        <v>0.64827868216326523</v>
      </c>
      <c r="D5" s="3">
        <v>0.86067685900000002</v>
      </c>
    </row>
    <row r="6" spans="1:4">
      <c r="A6">
        <v>1</v>
      </c>
      <c r="B6" s="6" t="s">
        <v>7</v>
      </c>
      <c r="C6" s="3">
        <v>0.40720505110937499</v>
      </c>
      <c r="D6" s="3">
        <v>0.80474400571875004</v>
      </c>
    </row>
    <row r="7" spans="1:4">
      <c r="A7">
        <v>1</v>
      </c>
      <c r="B7" s="6" t="s">
        <v>8</v>
      </c>
      <c r="C7" s="3"/>
      <c r="D7" s="3"/>
    </row>
    <row r="8" spans="1:4">
      <c r="A8">
        <v>1</v>
      </c>
      <c r="B8" s="6" t="s">
        <v>9</v>
      </c>
      <c r="C8" s="3">
        <v>0.20515752057142861</v>
      </c>
      <c r="D8" s="3">
        <v>0.82173123771428569</v>
      </c>
    </row>
    <row r="9" spans="1:4">
      <c r="A9">
        <v>1</v>
      </c>
      <c r="B9" s="6" t="s">
        <v>10</v>
      </c>
      <c r="C9" s="3">
        <v>0.66741374908771922</v>
      </c>
      <c r="D9" s="3">
        <v>0.83037745270175445</v>
      </c>
    </row>
    <row r="10" spans="1:4">
      <c r="A10">
        <v>1</v>
      </c>
      <c r="B10" s="6" t="s">
        <v>11</v>
      </c>
      <c r="C10" s="3">
        <v>0.37435694597260272</v>
      </c>
      <c r="D10" s="3">
        <v>0.87354161232876715</v>
      </c>
    </row>
    <row r="11" spans="1:4">
      <c r="A11">
        <v>1</v>
      </c>
      <c r="B11" s="6" t="s">
        <v>12</v>
      </c>
      <c r="C11" s="3">
        <v>0.47535792585074621</v>
      </c>
      <c r="D11" s="3">
        <v>0.75182990845273623</v>
      </c>
    </row>
    <row r="12" spans="1:4">
      <c r="A12">
        <v>1</v>
      </c>
      <c r="B12" s="6" t="s">
        <v>13</v>
      </c>
      <c r="C12" s="3">
        <v>0.56529109702803737</v>
      </c>
      <c r="D12" s="3">
        <v>0.80441332017757017</v>
      </c>
    </row>
    <row r="13" spans="1:4">
      <c r="A13">
        <v>1</v>
      </c>
      <c r="B13" s="6" t="s">
        <v>14</v>
      </c>
      <c r="C13" s="3">
        <v>0.40283265426086962</v>
      </c>
      <c r="D13" s="3">
        <v>0.8298181420869567</v>
      </c>
    </row>
    <row r="14" spans="1:4">
      <c r="A14">
        <v>1</v>
      </c>
      <c r="B14" s="6" t="s">
        <v>15</v>
      </c>
      <c r="C14" s="3">
        <v>0.61438045889743587</v>
      </c>
      <c r="D14" s="3">
        <v>0.84884701294871778</v>
      </c>
    </row>
    <row r="15" spans="1:4">
      <c r="A15">
        <v>1</v>
      </c>
      <c r="B15" s="6" t="s">
        <v>16</v>
      </c>
      <c r="C15" s="3">
        <v>0.8022370423728814</v>
      </c>
      <c r="D15" s="3">
        <v>0.82421997286440662</v>
      </c>
    </row>
    <row r="16" spans="1:4">
      <c r="A16">
        <v>1</v>
      </c>
      <c r="B16" s="6" t="s">
        <v>17</v>
      </c>
      <c r="C16" s="3">
        <v>0.2214943094607843</v>
      </c>
      <c r="D16" s="3">
        <v>0.7825023824999997</v>
      </c>
    </row>
    <row r="17" spans="1:4">
      <c r="A17">
        <v>1</v>
      </c>
      <c r="B17" s="6" t="s">
        <v>18</v>
      </c>
      <c r="C17" s="3">
        <v>1.1764342653484849</v>
      </c>
      <c r="D17" s="3">
        <v>0.87185773566666658</v>
      </c>
    </row>
    <row r="18" spans="1:4">
      <c r="A18">
        <v>1</v>
      </c>
      <c r="B18" s="6" t="s">
        <v>19</v>
      </c>
      <c r="C18" s="3">
        <v>0.18721141034951461</v>
      </c>
      <c r="D18" s="3">
        <v>0.81459454252427177</v>
      </c>
    </row>
    <row r="19" spans="1:4">
      <c r="A19">
        <v>1</v>
      </c>
      <c r="B19" s="6" t="s">
        <v>20</v>
      </c>
      <c r="C19" s="3">
        <v>1.010386856666667E-2</v>
      </c>
      <c r="D19" s="3">
        <v>0.87906611796666667</v>
      </c>
    </row>
    <row r="20" spans="1:4">
      <c r="A20">
        <v>1</v>
      </c>
      <c r="B20" s="6" t="s">
        <v>21</v>
      </c>
      <c r="C20" s="3">
        <v>0.54775498334223294</v>
      </c>
      <c r="D20" s="3">
        <v>0.81749953601456304</v>
      </c>
    </row>
    <row r="21" spans="1:4">
      <c r="A21">
        <v>1</v>
      </c>
      <c r="B21" s="6" t="s">
        <v>22</v>
      </c>
      <c r="C21" s="3">
        <v>0.38815069611363651</v>
      </c>
      <c r="D21" s="3">
        <v>0.78091975995454532</v>
      </c>
    </row>
    <row r="22" spans="1:4">
      <c r="A22">
        <v>1</v>
      </c>
      <c r="B22" s="6" t="s">
        <v>23</v>
      </c>
      <c r="C22" s="3">
        <v>0.61713234618987345</v>
      </c>
      <c r="D22" s="3">
        <v>0.78952023112658232</v>
      </c>
    </row>
    <row r="23" spans="1:4">
      <c r="A23">
        <v>1</v>
      </c>
      <c r="B23" s="6" t="s">
        <v>24</v>
      </c>
      <c r="C23" s="3">
        <v>0.65435916262254901</v>
      </c>
      <c r="D23" s="3">
        <v>0.83835033107352952</v>
      </c>
    </row>
    <row r="24" spans="1:4">
      <c r="A24">
        <v>1</v>
      </c>
      <c r="B24" s="6" t="s">
        <v>25</v>
      </c>
      <c r="C24" s="3">
        <v>0.5555847200416667</v>
      </c>
      <c r="D24" s="3">
        <v>0.80621581366666673</v>
      </c>
    </row>
    <row r="25" spans="1:4">
      <c r="A25">
        <v>1</v>
      </c>
      <c r="B25" s="6" t="s">
        <v>26</v>
      </c>
      <c r="C25" s="3">
        <v>0.73688442146896549</v>
      </c>
      <c r="D25" s="3">
        <v>0.85193523926896542</v>
      </c>
    </row>
    <row r="26" spans="1:4">
      <c r="A26">
        <v>1</v>
      </c>
      <c r="B26" s="6" t="s">
        <v>27</v>
      </c>
      <c r="C26" s="3">
        <v>0.65419846856976749</v>
      </c>
      <c r="D26" s="3">
        <v>0.82381663315116271</v>
      </c>
    </row>
    <row r="27" spans="1:4">
      <c r="A27">
        <v>1</v>
      </c>
      <c r="B27" s="6" t="s">
        <v>28</v>
      </c>
      <c r="C27" s="3">
        <v>0.56674500587719301</v>
      </c>
      <c r="D27" s="3">
        <v>0.81250107994736842</v>
      </c>
    </row>
    <row r="28" spans="1:4">
      <c r="A28">
        <v>1</v>
      </c>
      <c r="B28" s="6" t="s">
        <v>29</v>
      </c>
      <c r="C28" s="3">
        <v>0.64622806120091325</v>
      </c>
      <c r="D28" s="3">
        <v>0.86254392319634687</v>
      </c>
    </row>
    <row r="29" spans="1:4">
      <c r="A29">
        <v>1</v>
      </c>
      <c r="B29" s="6" t="s">
        <v>30</v>
      </c>
      <c r="C29" s="3">
        <v>0.81946501572222219</v>
      </c>
      <c r="D29" s="3">
        <v>0.88262625066666667</v>
      </c>
    </row>
    <row r="30" spans="1:4">
      <c r="A30">
        <v>1</v>
      </c>
      <c r="B30" s="6" t="s">
        <v>31</v>
      </c>
      <c r="C30" s="3">
        <v>0.29851264703750002</v>
      </c>
      <c r="D30" s="3">
        <v>0.78385676728750009</v>
      </c>
    </row>
    <row r="31" spans="1:4">
      <c r="A31">
        <v>1</v>
      </c>
      <c r="B31" s="6" t="s">
        <v>32</v>
      </c>
      <c r="C31" s="3">
        <v>0.89291271023333352</v>
      </c>
      <c r="D31" s="3">
        <v>0.90123062340000004</v>
      </c>
    </row>
    <row r="32" spans="1:4">
      <c r="A32">
        <v>1</v>
      </c>
      <c r="B32" s="6" t="s">
        <v>33</v>
      </c>
      <c r="C32" s="3">
        <v>0.39692524339393942</v>
      </c>
      <c r="D32" s="3">
        <v>0.8131204113181818</v>
      </c>
    </row>
    <row r="33" spans="1:4">
      <c r="A33">
        <v>1</v>
      </c>
      <c r="B33" s="6" t="s">
        <v>34</v>
      </c>
      <c r="C33" s="3">
        <v>0.4777704772647059</v>
      </c>
      <c r="D33" s="3">
        <v>0.81587606445588234</v>
      </c>
    </row>
    <row r="34" spans="1:4">
      <c r="A34">
        <v>1</v>
      </c>
      <c r="B34" s="6" t="s">
        <v>35</v>
      </c>
      <c r="C34" s="3">
        <v>0.48533307878749998</v>
      </c>
      <c r="D34" s="3">
        <v>0.76796647569999998</v>
      </c>
    </row>
    <row r="35" spans="1:4">
      <c r="A35">
        <v>1</v>
      </c>
      <c r="B35" s="6" t="s">
        <v>36</v>
      </c>
      <c r="C35" s="3">
        <v>0.84519788015714292</v>
      </c>
      <c r="D35" s="3">
        <v>0.86323597258571427</v>
      </c>
    </row>
    <row r="36" spans="1:4">
      <c r="A36">
        <v>1</v>
      </c>
      <c r="B36" s="6" t="s">
        <v>37</v>
      </c>
      <c r="C36" s="3">
        <v>0.67390436796721298</v>
      </c>
      <c r="D36" s="3">
        <v>0.84678668432786897</v>
      </c>
    </row>
    <row r="37" spans="1:4">
      <c r="A37">
        <v>1</v>
      </c>
      <c r="B37" s="6" t="s">
        <v>38</v>
      </c>
      <c r="C37" s="3">
        <v>0.50950460322033897</v>
      </c>
      <c r="D37" s="3">
        <v>0.77492565377966116</v>
      </c>
    </row>
    <row r="38" spans="1:4">
      <c r="A38">
        <v>1</v>
      </c>
      <c r="B38" s="6" t="s">
        <v>39</v>
      </c>
      <c r="C38" s="3">
        <v>0.72573150905405404</v>
      </c>
      <c r="D38" s="3">
        <v>0.87524529439864862</v>
      </c>
    </row>
    <row r="39" spans="1:4">
      <c r="A39">
        <v>1</v>
      </c>
      <c r="B39" s="6" t="s">
        <v>40</v>
      </c>
      <c r="C39" s="3">
        <v>0.28968105390909088</v>
      </c>
      <c r="D39" s="3">
        <v>0.79767940157894734</v>
      </c>
    </row>
    <row r="40" spans="1:4">
      <c r="A40">
        <v>1</v>
      </c>
      <c r="B40" s="6" t="s">
        <v>41</v>
      </c>
      <c r="C40" s="3">
        <v>0.55770569874747467</v>
      </c>
      <c r="D40" s="3">
        <v>0.84965163863636362</v>
      </c>
    </row>
    <row r="41" spans="1:4">
      <c r="A41">
        <v>1</v>
      </c>
      <c r="B41" s="6" t="s">
        <v>42</v>
      </c>
      <c r="C41" s="3">
        <v>0.2080217110272374</v>
      </c>
      <c r="D41" s="3">
        <v>0.76526693594163409</v>
      </c>
    </row>
    <row r="42" spans="1:4">
      <c r="A42">
        <v>1</v>
      </c>
      <c r="B42" s="6" t="s">
        <v>43</v>
      </c>
      <c r="C42" s="3">
        <v>0.39541513052586208</v>
      </c>
      <c r="D42" s="3">
        <v>0.77429229947413769</v>
      </c>
    </row>
    <row r="43" spans="1:4">
      <c r="A43">
        <v>1</v>
      </c>
      <c r="B43" s="6" t="s">
        <v>44</v>
      </c>
      <c r="C43" s="3">
        <v>0.55709646253947365</v>
      </c>
      <c r="D43" s="3">
        <v>0.82756090077631583</v>
      </c>
    </row>
    <row r="44" spans="1:4">
      <c r="A44">
        <v>1</v>
      </c>
      <c r="B44" s="6" t="s">
        <v>45</v>
      </c>
      <c r="C44" s="3">
        <v>0.74663181519999999</v>
      </c>
      <c r="D44" s="3">
        <v>0.85375774966249973</v>
      </c>
    </row>
    <row r="45" spans="1:4">
      <c r="A45">
        <v>1</v>
      </c>
      <c r="B45" s="6" t="s">
        <v>46</v>
      </c>
      <c r="C45" s="3">
        <v>0.68455447478787868</v>
      </c>
      <c r="D45" s="3">
        <v>0.88274254572727273</v>
      </c>
    </row>
    <row r="46" spans="1:4">
      <c r="A46">
        <v>1</v>
      </c>
      <c r="B46" s="6" t="s">
        <v>47</v>
      </c>
      <c r="C46" s="3">
        <v>0.82625266947619047</v>
      </c>
      <c r="D46" s="3">
        <v>0.88049991847619058</v>
      </c>
    </row>
    <row r="47" spans="1:4">
      <c r="A47">
        <v>1</v>
      </c>
      <c r="B47" s="6" t="s">
        <v>48</v>
      </c>
      <c r="C47" s="3">
        <v>0.60656729355495975</v>
      </c>
      <c r="D47" s="3">
        <v>0.8371821416300268</v>
      </c>
    </row>
    <row r="48" spans="1:4">
      <c r="A48">
        <v>1</v>
      </c>
      <c r="B48" s="6" t="s">
        <v>49</v>
      </c>
      <c r="C48" s="3">
        <v>0.5988081058875</v>
      </c>
      <c r="D48" s="3">
        <v>0.83065838833750016</v>
      </c>
    </row>
    <row r="49" spans="1:4">
      <c r="A49">
        <v>1</v>
      </c>
      <c r="B49" s="6" t="s">
        <v>50</v>
      </c>
      <c r="C49" s="3">
        <v>7.7244456139534887E-2</v>
      </c>
      <c r="D49" s="3">
        <v>0.83489352530232563</v>
      </c>
    </row>
    <row r="50" spans="1:4">
      <c r="A50">
        <v>1</v>
      </c>
      <c r="B50" s="6" t="s">
        <v>51</v>
      </c>
      <c r="C50" s="3">
        <v>0.90044649087878781</v>
      </c>
      <c r="D50" s="3">
        <v>0.85119873945454538</v>
      </c>
    </row>
    <row r="51" spans="1:4">
      <c r="A51">
        <v>1</v>
      </c>
      <c r="B51" s="6" t="s">
        <v>52</v>
      </c>
      <c r="C51" s="3">
        <v>0.58724034945714276</v>
      </c>
      <c r="D51" s="3">
        <v>0.80785688599999994</v>
      </c>
    </row>
    <row r="52" spans="1:4">
      <c r="A52">
        <v>1</v>
      </c>
      <c r="B52" s="6" t="s">
        <v>53</v>
      </c>
      <c r="C52" s="3">
        <v>0.67661334642553184</v>
      </c>
      <c r="D52" s="3">
        <v>0.84632180804255308</v>
      </c>
    </row>
    <row r="53" spans="1:4">
      <c r="A53">
        <v>1</v>
      </c>
      <c r="B53" s="6" t="s">
        <v>54</v>
      </c>
      <c r="C53" s="3">
        <v>0.68048535943859656</v>
      </c>
      <c r="D53" s="3">
        <v>0.83434158110526324</v>
      </c>
    </row>
    <row r="54" spans="1:4">
      <c r="A54">
        <v>1</v>
      </c>
      <c r="B54" s="6" t="s">
        <v>55</v>
      </c>
      <c r="C54" s="3">
        <v>0.53591528447252756</v>
      </c>
      <c r="D54" s="3">
        <v>0.79165846590109878</v>
      </c>
    </row>
    <row r="55" spans="1:4" ht="15.6">
      <c r="A55">
        <v>0</v>
      </c>
      <c r="B55" t="str">
        <f>TrimmedMean!B55</f>
        <v>Gemini (T=0)</v>
      </c>
      <c r="C55" s="31">
        <v>0.916327771285811</v>
      </c>
      <c r="D55" s="32">
        <v>0.99304048595250893</v>
      </c>
    </row>
    <row r="56" spans="1:4" ht="15.6">
      <c r="A56">
        <v>0</v>
      </c>
      <c r="B56" t="str">
        <f>TrimmedMean!B56</f>
        <v>Gemini (T=0.5)</v>
      </c>
      <c r="C56" s="31">
        <v>0.91989328173344309</v>
      </c>
      <c r="D56" s="32">
        <v>0.99414056536635054</v>
      </c>
    </row>
    <row r="57" spans="1:4" ht="15.6">
      <c r="A57">
        <v>0</v>
      </c>
      <c r="B57" t="str">
        <f>TrimmedMean!B57</f>
        <v>Gemini (T=1)</v>
      </c>
      <c r="C57" s="31">
        <v>0.92567538675046102</v>
      </c>
      <c r="D57" s="32">
        <v>0.9915905374476861</v>
      </c>
    </row>
    <row r="58" spans="1:4" ht="15.6">
      <c r="A58">
        <v>0</v>
      </c>
      <c r="B58" t="str">
        <f>TrimmedMean!B58</f>
        <v>Gemini (T=1.5)</v>
      </c>
      <c r="C58" s="33">
        <v>0.91281681310309293</v>
      </c>
      <c r="D58" s="32">
        <v>0.99591823467896257</v>
      </c>
    </row>
    <row r="59" spans="1:4" ht="15.6">
      <c r="A59">
        <v>0</v>
      </c>
      <c r="B59" t="str">
        <f>TrimmedMean!B59</f>
        <v>Gemini (T=2)</v>
      </c>
      <c r="C59" s="31">
        <v>0.92845216114947393</v>
      </c>
      <c r="D59" s="32">
        <v>0.9918967836729965</v>
      </c>
    </row>
    <row r="60" spans="1:4" ht="15.6">
      <c r="A60">
        <v>0</v>
      </c>
      <c r="B60" t="str">
        <f>TrimmedMean!B60</f>
        <v xml:space="preserve">GPT 5 </v>
      </c>
      <c r="C60" s="34">
        <v>0.91498247726026694</v>
      </c>
      <c r="D60" s="32">
        <v>0.99627030594165045</v>
      </c>
    </row>
    <row r="61" spans="1:4" ht="15.6">
      <c r="A61">
        <v>0</v>
      </c>
      <c r="B61" t="str">
        <f>TrimmedMean!B61</f>
        <v>GPT 4o (T=0)</v>
      </c>
      <c r="C61" s="31">
        <v>0.94482230836918402</v>
      </c>
      <c r="D61" s="32">
        <v>0.88200006070105563</v>
      </c>
    </row>
    <row r="62" spans="1:4" ht="15.6">
      <c r="A62">
        <v>0</v>
      </c>
      <c r="B62" t="str">
        <f>TrimmedMean!B62</f>
        <v>GPT 4o (T=0.5)</v>
      </c>
      <c r="C62" s="31">
        <v>0.9357318454847825</v>
      </c>
      <c r="D62" s="35">
        <v>0.97152930455191178</v>
      </c>
    </row>
    <row r="63" spans="1:4" ht="15.6">
      <c r="A63">
        <v>0</v>
      </c>
      <c r="B63" t="str">
        <f>TrimmedMean!B63</f>
        <v>GPT 4o (T=1)</v>
      </c>
      <c r="C63" s="31">
        <v>0.93688442161287955</v>
      </c>
      <c r="D63" s="32">
        <v>0.97206298746793485</v>
      </c>
    </row>
    <row r="64" spans="1:4" ht="15.6">
      <c r="A64">
        <v>0</v>
      </c>
      <c r="B64" t="str">
        <f>TrimmedMean!B64</f>
        <v>GPT 4o (T=1.5)</v>
      </c>
      <c r="C64" s="31">
        <v>0.9357318454847825</v>
      </c>
      <c r="D64" s="32">
        <v>0.97152930455191178</v>
      </c>
    </row>
    <row r="65" spans="1:4" ht="15.6">
      <c r="A65">
        <v>0</v>
      </c>
      <c r="B65" t="str">
        <f>TrimmedMean!B65</f>
        <v>GPT 4o (T=2)</v>
      </c>
      <c r="C65" s="31">
        <v>0.9357318454847825</v>
      </c>
      <c r="D65" s="32">
        <v>0.97152930455191178</v>
      </c>
    </row>
    <row r="66" spans="1:4" ht="15.6">
      <c r="A66">
        <v>0</v>
      </c>
      <c r="B66" t="str">
        <f>TrimmedMean!B66</f>
        <v>Dseek (T=0)</v>
      </c>
      <c r="C66" s="31">
        <v>0.92987319936956225</v>
      </c>
      <c r="D66" s="32">
        <v>0.93925138790493368</v>
      </c>
    </row>
    <row r="67" spans="1:4" ht="15.6">
      <c r="A67">
        <v>0</v>
      </c>
      <c r="B67" t="str">
        <f>TrimmedMean!B67</f>
        <v>Dseek (T=0.5)</v>
      </c>
      <c r="C67" s="31">
        <v>0.9230281124872195</v>
      </c>
      <c r="D67" s="32">
        <v>0.91917817844367455</v>
      </c>
    </row>
    <row r="68" spans="1:4" ht="15.6">
      <c r="A68">
        <v>0</v>
      </c>
      <c r="B68" t="str">
        <f>TrimmedMean!B68</f>
        <v>Dseek (T=1)</v>
      </c>
      <c r="C68" s="31">
        <v>0.9507885017758877</v>
      </c>
      <c r="D68" s="32">
        <v>0.89747996225066307</v>
      </c>
    </row>
    <row r="69" spans="1:4" ht="15.6">
      <c r="A69">
        <v>0</v>
      </c>
      <c r="B69" t="str">
        <f>TrimmedMean!B69</f>
        <v>Dseek (T=1.5)</v>
      </c>
      <c r="C69" s="31">
        <v>0.91905250301324404</v>
      </c>
      <c r="D69" s="32">
        <v>0.97066758745066906</v>
      </c>
    </row>
    <row r="70" spans="1:4" ht="15.6">
      <c r="A70">
        <v>0</v>
      </c>
      <c r="B70" t="str">
        <f>TrimmedMean!B70</f>
        <v>Dseek (T=2)</v>
      </c>
      <c r="C70" s="31">
        <v>0.92203190187758421</v>
      </c>
      <c r="D70" s="32">
        <v>0.93964252859846908</v>
      </c>
    </row>
    <row r="71" spans="1:4" ht="15.6">
      <c r="A71">
        <v>0</v>
      </c>
      <c r="B71" t="str">
        <f>TrimmedMean!B71</f>
        <v>GPT 4 (T=0)</v>
      </c>
      <c r="C71" s="31">
        <v>0.94482230836918446</v>
      </c>
      <c r="D71" s="32">
        <v>0.88200006070105486</v>
      </c>
    </row>
    <row r="72" spans="1:4" ht="15.6">
      <c r="A72">
        <v>0</v>
      </c>
      <c r="B72" t="str">
        <f>TrimmedMean!B72</f>
        <v>GPT 4 (T=0.5)</v>
      </c>
      <c r="C72" s="31">
        <v>0.94482230836918446</v>
      </c>
      <c r="D72" s="32">
        <v>0.88200006070105486</v>
      </c>
    </row>
    <row r="73" spans="1:4" ht="15.6">
      <c r="A73">
        <v>0</v>
      </c>
      <c r="B73" t="str">
        <f>TrimmedMean!B73</f>
        <v>GPT 4 (T=1)</v>
      </c>
      <c r="C73" s="31">
        <v>0.93092348723384766</v>
      </c>
      <c r="D73" s="32">
        <v>0.87768469945503969</v>
      </c>
    </row>
    <row r="74" spans="1:4" ht="15.6">
      <c r="A74">
        <v>0</v>
      </c>
      <c r="B74" t="str">
        <f>TrimmedMean!B74</f>
        <v>GPT 4 (T=1.5)</v>
      </c>
      <c r="C74" s="31">
        <v>0.94482230836918446</v>
      </c>
      <c r="D74" s="32">
        <v>0.88200006070105486</v>
      </c>
    </row>
    <row r="75" spans="1:4" ht="15.6">
      <c r="A75">
        <v>0</v>
      </c>
      <c r="B75" t="str">
        <f>TrimmedMean!B75</f>
        <v>GPT 4 (T=2)</v>
      </c>
      <c r="C75" s="34">
        <v>0.94482230836918446</v>
      </c>
      <c r="D75" s="32">
        <v>0.88200006070105486</v>
      </c>
    </row>
    <row r="77" spans="1:4">
      <c r="D7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2DA7-1124-448A-9C3B-0607E7D3CADB}">
  <dimension ref="A1:Q6"/>
  <sheetViews>
    <sheetView topLeftCell="B1" workbookViewId="0">
      <selection activeCell="I15" sqref="I15"/>
    </sheetView>
  </sheetViews>
  <sheetFormatPr defaultColWidth="8.88671875" defaultRowHeight="14.4"/>
  <cols>
    <col min="2" max="2" width="12" bestFit="1" customWidth="1"/>
    <col min="3" max="3" width="14.33203125" bestFit="1" customWidth="1"/>
    <col min="4" max="4" width="15.33203125" bestFit="1" customWidth="1"/>
    <col min="5" max="8" width="12" bestFit="1" customWidth="1"/>
    <col min="9" max="9" width="13.33203125" bestFit="1" customWidth="1"/>
    <col min="10" max="10" width="12" bestFit="1" customWidth="1"/>
    <col min="11" max="11" width="12.33203125" bestFit="1" customWidth="1"/>
    <col min="12" max="13" width="12" bestFit="1" customWidth="1"/>
    <col min="14" max="15" width="12.33203125" bestFit="1" customWidth="1"/>
    <col min="16" max="17" width="12" bestFit="1" customWidth="1"/>
  </cols>
  <sheetData>
    <row r="1" spans="1:17"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0</v>
      </c>
      <c r="Q1" s="1" t="s">
        <v>1</v>
      </c>
    </row>
    <row r="2" spans="1:17">
      <c r="A2" s="1" t="s">
        <v>70</v>
      </c>
      <c r="B2" s="2">
        <v>0.66210617704071606</v>
      </c>
      <c r="C2" s="2">
        <v>1214.457386267833</v>
      </c>
      <c r="D2" s="2">
        <v>12502.10666615925</v>
      </c>
      <c r="E2" s="2">
        <v>0.40189368744406029</v>
      </c>
      <c r="F2" s="2">
        <v>37.412563178519903</v>
      </c>
      <c r="G2" s="2">
        <v>21.48139840186899</v>
      </c>
      <c r="H2" s="2">
        <v>36.715720531869543</v>
      </c>
      <c r="I2" s="2">
        <v>530.29091972360993</v>
      </c>
      <c r="J2" s="2">
        <v>5.8552037082132182</v>
      </c>
      <c r="K2" s="2">
        <v>51.807420925647648</v>
      </c>
      <c r="L2" s="2">
        <v>28.535476909567009</v>
      </c>
      <c r="M2" s="2">
        <v>34.248258470856527</v>
      </c>
      <c r="N2" s="2">
        <v>65.623863227068071</v>
      </c>
      <c r="O2" s="2">
        <v>252.64693376744751</v>
      </c>
      <c r="P2" s="2">
        <v>0.5592181192216189</v>
      </c>
      <c r="Q2" s="2">
        <v>0.82830769767941548</v>
      </c>
    </row>
    <row r="3" spans="1:17">
      <c r="A3" s="1" t="s">
        <v>71</v>
      </c>
      <c r="B3" s="2">
        <v>0.22125700022124781</v>
      </c>
      <c r="C3" s="2">
        <v>4792.7240885911442</v>
      </c>
      <c r="D3" s="2">
        <v>39037.257483913723</v>
      </c>
      <c r="E3" s="2">
        <v>0.11254316726892551</v>
      </c>
      <c r="F3" s="2">
        <v>13.525975624931601</v>
      </c>
      <c r="G3" s="2">
        <v>10.26744155435714</v>
      </c>
      <c r="H3" s="2">
        <v>12.08095206193868</v>
      </c>
      <c r="I3" s="2">
        <v>589.3673692487996</v>
      </c>
      <c r="J3" s="2">
        <v>5.9051030391653789</v>
      </c>
      <c r="K3" s="2">
        <v>32.08924802294932</v>
      </c>
      <c r="L3" s="2">
        <v>9.7401261437767079</v>
      </c>
      <c r="M3" s="2">
        <v>11.097704724296429</v>
      </c>
      <c r="N3" s="2">
        <v>30.176817226300169</v>
      </c>
      <c r="O3" s="2">
        <v>121.70947931118999</v>
      </c>
      <c r="P3" s="2">
        <v>0.22542671920115659</v>
      </c>
      <c r="Q3" s="2">
        <v>3.4903806801349767E-2</v>
      </c>
    </row>
    <row r="4" spans="1:17">
      <c r="A4" s="1" t="s">
        <v>72</v>
      </c>
      <c r="B4" s="2">
        <v>0</v>
      </c>
      <c r="C4" s="2">
        <v>100.30690537072461</v>
      </c>
      <c r="D4" s="2">
        <v>399.45652174202888</v>
      </c>
      <c r="E4" s="2">
        <v>0.1020408163265306</v>
      </c>
      <c r="F4" s="2">
        <v>13.00584795345679</v>
      </c>
      <c r="G4" s="2">
        <v>4.7001763673950618</v>
      </c>
      <c r="H4" s="2">
        <v>14.751656919975311</v>
      </c>
      <c r="I4" s="2">
        <v>71.892307686684617</v>
      </c>
      <c r="J4" s="2">
        <v>0.74885640020987654</v>
      </c>
      <c r="K4" s="2">
        <v>8.1393298066790134</v>
      </c>
      <c r="L4" s="2">
        <v>13.11841439007595</v>
      </c>
      <c r="M4" s="2">
        <v>15.1688326584359</v>
      </c>
      <c r="N4" s="2">
        <v>22.428472222062499</v>
      </c>
      <c r="O4" s="2">
        <v>91.256944445708328</v>
      </c>
      <c r="P4" s="2">
        <v>1.010386856666667E-2</v>
      </c>
      <c r="Q4" s="2">
        <v>0.75182990845273623</v>
      </c>
    </row>
    <row r="5" spans="1:17">
      <c r="A5" s="1" t="s">
        <v>73</v>
      </c>
      <c r="B5" s="2">
        <v>0.66666666666666663</v>
      </c>
      <c r="C5" s="2">
        <v>345.119140625</v>
      </c>
      <c r="D5" s="2">
        <v>3239.4814814523811</v>
      </c>
      <c r="E5" s="2">
        <v>0.39583333333333331</v>
      </c>
      <c r="F5" s="2">
        <v>37.8125</v>
      </c>
      <c r="G5" s="2">
        <v>20.8387445885974</v>
      </c>
      <c r="H5" s="2">
        <v>37.511574074374998</v>
      </c>
      <c r="I5" s="2">
        <v>308.49853482289382</v>
      </c>
      <c r="J5" s="2">
        <v>4.161029411764706</v>
      </c>
      <c r="K5" s="2">
        <v>50.149500000000003</v>
      </c>
      <c r="L5" s="2">
        <v>26.981675392670159</v>
      </c>
      <c r="M5" s="2">
        <v>33.361111111111107</v>
      </c>
      <c r="N5" s="2">
        <v>55.973214285714278</v>
      </c>
      <c r="O5" s="2">
        <v>226.07035087719299</v>
      </c>
      <c r="P5" s="2">
        <v>0.56601805145261519</v>
      </c>
      <c r="Q5" s="2">
        <v>0.83051792051962736</v>
      </c>
    </row>
    <row r="6" spans="1:17">
      <c r="A6" s="1" t="s">
        <v>74</v>
      </c>
      <c r="B6" s="2">
        <v>0.99076212471131642</v>
      </c>
      <c r="C6" s="2">
        <v>34340</v>
      </c>
      <c r="D6" s="2">
        <v>246258.064516129</v>
      </c>
      <c r="E6" s="2">
        <v>0.62222222222222223</v>
      </c>
      <c r="F6" s="2">
        <v>77.239583333333329</v>
      </c>
      <c r="G6" s="2">
        <v>67.173611111812491</v>
      </c>
      <c r="H6" s="2">
        <v>68.356249999854171</v>
      </c>
      <c r="I6" s="2">
        <v>3601.215277758271</v>
      </c>
      <c r="J6" s="2">
        <v>28.092783505154639</v>
      </c>
      <c r="K6" s="2">
        <v>205.76388888695831</v>
      </c>
      <c r="L6" s="2">
        <v>75.535714285714292</v>
      </c>
      <c r="M6" s="2">
        <v>82.666666666666671</v>
      </c>
      <c r="N6" s="2">
        <v>206.4655172413793</v>
      </c>
      <c r="O6" s="2">
        <v>706.76666666666665</v>
      </c>
      <c r="P6" s="2">
        <v>1.1764342653484849</v>
      </c>
      <c r="Q6" s="2">
        <v>0.90123062340000004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E304-9BC0-4090-AD0C-D1B1C76EF75F}">
  <dimension ref="A1:I4"/>
  <sheetViews>
    <sheetView workbookViewId="0">
      <selection activeCell="B2" sqref="B2:I4"/>
    </sheetView>
  </sheetViews>
  <sheetFormatPr defaultRowHeight="14.4"/>
  <cols>
    <col min="1" max="1" width="14.21875" bestFit="1" customWidth="1"/>
  </cols>
  <sheetData>
    <row r="1" spans="1:9" ht="15.6">
      <c r="A1" s="28" t="s">
        <v>95</v>
      </c>
      <c r="B1" s="29">
        <v>5</v>
      </c>
      <c r="C1" s="29">
        <v>6</v>
      </c>
      <c r="D1" s="29">
        <v>7</v>
      </c>
      <c r="E1" s="29">
        <v>8</v>
      </c>
      <c r="F1" s="29">
        <v>9</v>
      </c>
      <c r="G1" s="29">
        <v>10</v>
      </c>
      <c r="H1" s="29">
        <v>11</v>
      </c>
      <c r="I1" s="29">
        <v>12</v>
      </c>
    </row>
    <row r="2" spans="1:9" ht="15.6">
      <c r="A2" s="28" t="s">
        <v>92</v>
      </c>
      <c r="B2" s="36">
        <v>37.4</v>
      </c>
      <c r="C2" s="36">
        <v>21.5</v>
      </c>
      <c r="D2" s="36">
        <v>36.700000000000003</v>
      </c>
      <c r="E2" s="36">
        <v>530.29999999999995</v>
      </c>
      <c r="F2" s="36">
        <v>5.9</v>
      </c>
      <c r="G2" s="36">
        <v>51.8</v>
      </c>
      <c r="H2" s="36">
        <v>28.5</v>
      </c>
      <c r="I2" s="36">
        <v>34.200000000000003</v>
      </c>
    </row>
    <row r="3" spans="1:9" ht="15.6">
      <c r="A3" s="28" t="s">
        <v>93</v>
      </c>
      <c r="B3" s="36">
        <v>74.3</v>
      </c>
      <c r="C3" s="36">
        <v>53.9</v>
      </c>
      <c r="D3" s="36">
        <v>78.599999999999994</v>
      </c>
      <c r="E3" s="36">
        <v>5634</v>
      </c>
      <c r="F3" s="36">
        <v>8</v>
      </c>
      <c r="G3" s="36">
        <v>176.9</v>
      </c>
      <c r="H3" s="36">
        <v>48.4</v>
      </c>
      <c r="I3" s="36">
        <v>60.8</v>
      </c>
    </row>
    <row r="4" spans="1:9" ht="15.6">
      <c r="A4" s="28" t="s">
        <v>94</v>
      </c>
      <c r="B4" s="36">
        <v>91</v>
      </c>
      <c r="C4" s="36">
        <v>60</v>
      </c>
      <c r="D4" s="36">
        <v>90</v>
      </c>
      <c r="E4" s="36">
        <v>6000</v>
      </c>
      <c r="F4" s="36">
        <v>10</v>
      </c>
      <c r="G4" s="36">
        <v>240</v>
      </c>
      <c r="H4" s="36">
        <v>48</v>
      </c>
      <c r="I4" s="36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986A-419D-4870-BDD1-3CA510BA21C6}">
  <dimension ref="A1:B6"/>
  <sheetViews>
    <sheetView tabSelected="1" workbookViewId="0">
      <selection activeCell="B10" sqref="B10"/>
    </sheetView>
  </sheetViews>
  <sheetFormatPr defaultColWidth="8.88671875" defaultRowHeight="14.4"/>
  <cols>
    <col min="1" max="1" width="16.21875" customWidth="1"/>
    <col min="2" max="2" width="82.109375" customWidth="1"/>
  </cols>
  <sheetData>
    <row r="1" spans="1:2">
      <c r="A1" t="s">
        <v>109</v>
      </c>
      <c r="B1" t="s">
        <v>110</v>
      </c>
    </row>
    <row r="2" spans="1:2" ht="72">
      <c r="A2" s="39" t="s">
        <v>111</v>
      </c>
      <c r="B2" s="38" t="s">
        <v>112</v>
      </c>
    </row>
    <row r="3" spans="1:2" ht="15">
      <c r="A3" s="39" t="s">
        <v>113</v>
      </c>
      <c r="B3" s="37" t="s">
        <v>114</v>
      </c>
    </row>
    <row r="4" spans="1:2">
      <c r="A4" s="40" t="s">
        <v>115</v>
      </c>
      <c r="B4" t="s">
        <v>96</v>
      </c>
    </row>
    <row r="6" spans="1:2">
      <c r="A6" t="s">
        <v>108</v>
      </c>
      <c r="B6" s="30" t="s">
        <v>107</v>
      </c>
    </row>
  </sheetData>
  <hyperlinks>
    <hyperlink ref="B6" r:id="rId1" xr:uid="{F2AD54E0-3895-43C6-9CD2-09DAD1DCB10E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TrimmedMean</vt:lpstr>
      <vt:lpstr>Hyperbolic</vt:lpstr>
      <vt:lpstr>Desc_Stats_TrimmedMean</vt:lpstr>
      <vt:lpstr>Expected Values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Orhan Erdem</dc:creator>
  <cp:lastModifiedBy>Orhan Erdem</cp:lastModifiedBy>
  <dcterms:created xsi:type="dcterms:W3CDTF">2025-09-25T19:22:17Z</dcterms:created>
  <dcterms:modified xsi:type="dcterms:W3CDTF">2025-12-15T14:25:58Z</dcterms:modified>
</cp:coreProperties>
</file>